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Gas bottles" sheetId="2" state="visible" r:id="rId2"/>
    <sheet name="Liquid mixtures" sheetId="3" state="visible" r:id="rId3"/>
    <sheet name="Sce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SAPHFIRE 2026 — injection preparation form</t>
        </is>
      </c>
    </row>
    <row r="2">
      <c r="A2" t="inlineStr"/>
    </row>
    <row r="3">
      <c r="A3" s="2" t="inlineStr">
        <is>
          <t>Fill in the YELLOW cells. White cells are reference values already computed.</t>
        </is>
      </c>
    </row>
    <row r="4">
      <c r="A4" t="inlineStr"/>
    </row>
    <row r="5">
      <c r="A5" t="inlineStr">
        <is>
          <t>Gas bottles sheet — for each species record:</t>
        </is>
      </c>
    </row>
    <row r="6">
      <c r="A6" t="inlineStr">
        <is>
          <t xml:space="preserve">   • bottle ID/size/current pressure (bar)</t>
        </is>
      </c>
    </row>
    <row r="7">
      <c r="A7" t="inlineStr">
        <is>
          <t xml:space="preserve">   • status: pure or mixture; if mixture, the concentration (value + unit % or ppm) and balance gas</t>
        </is>
      </c>
    </row>
    <row r="8">
      <c r="A8" t="inlineStr">
        <is>
          <t xml:space="preserve">   • injection method: MFC or volume injection</t>
        </is>
      </c>
    </row>
    <row r="9">
      <c r="A9" t="inlineStr">
        <is>
          <t xml:space="preserve">       - if MFC: the flow used (available MFC max flows: 0.5 / 5 / 20 LPM)</t>
        </is>
      </c>
    </row>
    <row r="10">
      <c r="A10" t="inlineStr">
        <is>
          <t xml:space="preserve">       - if volume injection: the loop volume (0.32 or 3.2 mL)</t>
        </is>
      </c>
    </row>
    <row r="11">
      <c r="A11" t="inlineStr">
        <is>
          <t xml:space="preserve">   • whether a regulator is available</t>
        </is>
      </c>
    </row>
    <row r="12">
      <c r="A12" t="inlineStr">
        <is>
          <t xml:space="preserve">   Note: volume injection works for pure/high-% bottles (0.32 mL≈1.2 ppb, 3.2 mL≈12 ppb if pure); use an MFC for dilute (ppm) cylinders.</t>
        </is>
      </c>
    </row>
    <row r="13">
      <c r="A13" t="inlineStr"/>
    </row>
    <row r="14">
      <c r="A14" t="inlineStr">
        <is>
          <t>Liquid mixtures sheet — for each solution (A-D) record:</t>
        </is>
      </c>
    </row>
    <row r="15">
      <c r="A15" t="inlineStr">
        <is>
          <t xml:space="preserve">   • whether it's prepared, the vial volume and measured density</t>
        </is>
      </c>
    </row>
    <row r="16">
      <c r="A16" t="inlineStr">
        <is>
          <t xml:space="preserve">   • the syringe available for injection and whether it suits the per-injection µL shown</t>
        </is>
      </c>
    </row>
    <row r="17">
      <c r="A17" t="inlineStr"/>
    </row>
    <row r="18">
      <c r="A18" t="inlineStr">
        <is>
          <t>Reference scenario: total VOC = 150 ppb, 15 experiments, safety factor 1.5 (see Scenario sheet).</t>
        </is>
      </c>
    </row>
    <row r="19">
      <c r="A19" t="inlineStr"/>
    </row>
    <row r="20">
      <c r="A20" t="inlineStr">
        <is>
          <t>Once filled, send it back and the planner finalizes: gas-phase volumes / # injections /</t>
        </is>
      </c>
    </row>
    <row r="21">
      <c r="A21" t="inlineStr">
        <is>
          <t>minutes per species, whether each bottle lasts the campaign, and the final export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2" customWidth="1" min="4" max="4"/>
    <col width="13" customWidth="1" min="5" max="5"/>
    <col width="11" customWidth="1" min="6" max="6"/>
    <col width="9" customWidth="1" min="7" max="7"/>
    <col width="11" customWidth="1" min="8" max="8"/>
    <col width="13" customWidth="1" min="9" max="9"/>
    <col width="12" customWidth="1" min="10" max="10"/>
    <col width="10" customWidth="1" min="11" max="11"/>
    <col width="9" customWidth="1" min="12" max="12"/>
    <col width="13" customWidth="1" min="13" max="13"/>
    <col width="14" customWidth="1" min="14" max="14"/>
    <col width="14" customWidth="1" min="15" max="15"/>
    <col width="9" customWidth="1" min="16" max="16"/>
    <col width="22" customWidth="1" min="17" max="17"/>
  </cols>
  <sheetData>
    <row r="1">
      <c r="A1" s="3" t="inlineStr">
        <is>
          <t>species</t>
        </is>
      </c>
      <c r="B1" s="3" t="inlineStr">
        <is>
          <t>MW
(g/mol)</t>
        </is>
      </c>
      <c r="C1" s="3" t="inlineStr">
        <is>
          <t>per-exp ppb
(flaming)</t>
        </is>
      </c>
      <c r="D1" s="3" t="inlineStr">
        <is>
          <t>per-exp ppb
(smoldering)</t>
        </is>
      </c>
      <c r="E1" s="3" t="inlineStr">
        <is>
          <t>campaign ppb
(×15×1.5, flaming)</t>
        </is>
      </c>
      <c r="F1" s="4" t="inlineStr">
        <is>
          <t>bottle ID /
label</t>
        </is>
      </c>
      <c r="G1" s="4" t="inlineStr">
        <is>
          <t>bottle size
(L)</t>
        </is>
      </c>
      <c r="H1" s="4" t="inlineStr">
        <is>
          <t>current
pressure (bar)</t>
        </is>
      </c>
      <c r="I1" s="4" t="inlineStr">
        <is>
          <t>status
(pure/mixture)</t>
        </is>
      </c>
      <c r="J1" s="4" t="inlineStr">
        <is>
          <t>concentration
(value)</t>
        </is>
      </c>
      <c r="K1" s="4" t="inlineStr">
        <is>
          <t>conc. unit
(%/ppm)</t>
        </is>
      </c>
      <c r="L1" s="4" t="inlineStr">
        <is>
          <t>balance
gas</t>
        </is>
      </c>
      <c r="M1" s="4" t="inlineStr">
        <is>
          <t>injection method
(MFC / volume)</t>
        </is>
      </c>
      <c r="N1" s="4" t="inlineStr">
        <is>
          <t>volume inj. loop
(0.32 / 3.2 mL)</t>
        </is>
      </c>
      <c r="O1" s="4" t="inlineStr">
        <is>
          <t>MFC flow
(0.5/5/20 LPM)</t>
        </is>
      </c>
      <c r="P1" s="4" t="inlineStr">
        <is>
          <t>regulator
(Y/N)</t>
        </is>
      </c>
      <c r="Q1" s="4" t="inlineStr">
        <is>
          <t>notes</t>
        </is>
      </c>
    </row>
    <row r="2">
      <c r="A2" s="5" t="inlineStr">
        <is>
          <t>Propene</t>
        </is>
      </c>
      <c r="B2" s="5" t="n">
        <v>42.081</v>
      </c>
      <c r="C2" s="5" t="n">
        <v>9.279999999999999</v>
      </c>
      <c r="D2" s="5" t="n">
        <v>9.279999999999999</v>
      </c>
      <c r="E2" s="5" t="n">
        <v>208.8</v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</row>
    <row r="3">
      <c r="A3" s="5" t="inlineStr">
        <is>
          <t>Ethene</t>
        </is>
      </c>
      <c r="B3" s="5" t="n">
        <v>28.054</v>
      </c>
      <c r="C3" s="5" t="n">
        <v>9.119999999999999</v>
      </c>
      <c r="D3" s="5" t="n">
        <v>9.119999999999999</v>
      </c>
      <c r="E3" s="5" t="n">
        <v>205.2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5" t="inlineStr">
        <is>
          <t>Acetylene</t>
        </is>
      </c>
      <c r="B4" s="5" t="n">
        <v>26.038</v>
      </c>
      <c r="C4" s="5" t="n">
        <v>6.72</v>
      </c>
      <c r="D4" s="5" t="n">
        <v>6.72</v>
      </c>
      <c r="E4" s="5" t="n">
        <v>151.3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5" t="inlineStr">
        <is>
          <t>CO</t>
        </is>
      </c>
      <c r="B5" s="5" t="n">
        <v>28.01</v>
      </c>
      <c r="C5" s="5" t="n">
        <v>1012.48</v>
      </c>
      <c r="D5" s="5" t="n">
        <v>1012.48</v>
      </c>
      <c r="E5" s="5" t="n">
        <v>22780.8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5" t="inlineStr">
        <is>
          <t>NO</t>
        </is>
      </c>
      <c r="B6" s="5" t="n">
        <v>30.006</v>
      </c>
      <c r="C6" s="5" t="n">
        <v>38.19</v>
      </c>
      <c r="D6" s="5" t="n">
        <v>8.26</v>
      </c>
      <c r="E6" s="5" t="n">
        <v>859.3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5" t="inlineStr">
        <is>
          <t>NO2</t>
        </is>
      </c>
      <c r="B7" s="5" t="n">
        <v>46.005</v>
      </c>
      <c r="C7" s="5" t="n">
        <v>10.91</v>
      </c>
      <c r="D7" s="5" t="n">
        <v>2.36</v>
      </c>
      <c r="E7" s="5" t="n">
        <v>245.5</v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5" t="inlineStr">
        <is>
          <t>HONO</t>
        </is>
      </c>
      <c r="B8" s="5" t="n">
        <v>47.013</v>
      </c>
      <c r="C8" s="5" t="n">
        <v>5.46</v>
      </c>
      <c r="D8" s="5" t="n">
        <v>1.18</v>
      </c>
      <c r="E8" s="5" t="n">
        <v>122.8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</sheetData>
  <dataValidations count="6">
    <dataValidation sqref="I2:I8" showDropDown="0" showInputMessage="0" showErrorMessage="0" allowBlank="1" type="list">
      <formula1>"pure,mixture"</formula1>
    </dataValidation>
    <dataValidation sqref="K2:K8" showDropDown="0" showInputMessage="0" showErrorMessage="0" allowBlank="1" type="list">
      <formula1>"%,ppm"</formula1>
    </dataValidation>
    <dataValidation sqref="M2:M8" showDropDown="0" showInputMessage="0" showErrorMessage="0" allowBlank="1" type="list">
      <formula1>"MFC,volume injection"</formula1>
    </dataValidation>
    <dataValidation sqref="N2:N8" showDropDown="0" showInputMessage="0" showErrorMessage="0" allowBlank="1" type="list">
      <formula1>"n/a,0.32,3.2"</formula1>
    </dataValidation>
    <dataValidation sqref="O2:O8" showDropDown="0" showInputMessage="0" showErrorMessage="0" allowBlank="1" type="list">
      <formula1>"n/a,0.5,5,20"</formula1>
    </dataValidation>
    <dataValidation sqref="P2:P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5" customWidth="1" min="4" max="4"/>
    <col width="10" customWidth="1" min="5" max="5"/>
    <col width="11" customWidth="1" min="6" max="6"/>
    <col width="15" customWidth="1" min="7" max="7"/>
    <col width="18" customWidth="1" min="8" max="8"/>
    <col width="13" customWidth="1" min="9" max="9"/>
    <col width="16" customWidth="1" min="10" max="10"/>
    <col width="22" customWidth="1" min="11" max="11"/>
  </cols>
  <sheetData>
    <row r="1">
      <c r="A1" s="3" t="inlineStr">
        <is>
          <t>solution</t>
        </is>
      </c>
      <c r="B1" s="3" t="inlineStr">
        <is>
          <t>mixture</t>
        </is>
      </c>
      <c r="C1" s="3" t="inlineStr">
        <is>
          <t>per-exp inject
(µL)</t>
        </is>
      </c>
      <c r="D1" s="3" t="inlineStr">
        <is>
          <t>campaign total
(mL, ×15×1.5)</t>
        </is>
      </c>
      <c r="E1" s="4" t="inlineStr">
        <is>
          <t>prepared?
(Y/N)</t>
        </is>
      </c>
      <c r="F1" s="4" t="inlineStr">
        <is>
          <t>vial volume
(mL)</t>
        </is>
      </c>
      <c r="G1" s="4" t="inlineStr">
        <is>
          <t>measured density
(g/mL)</t>
        </is>
      </c>
      <c r="H1" s="4" t="inlineStr">
        <is>
          <t>syringe available
(type / volume)</t>
        </is>
      </c>
      <c r="I1" s="4" t="inlineStr">
        <is>
          <t>suits per-exp µL?
(Y/N)</t>
        </is>
      </c>
      <c r="J1" s="4" t="inlineStr">
        <is>
          <t>injection port /
method</t>
        </is>
      </c>
      <c r="K1" s="4" t="inlineStr">
        <is>
          <t>notes</t>
        </is>
      </c>
    </row>
    <row r="2">
      <c r="A2" s="5" t="inlineStr">
        <is>
          <t>A</t>
        </is>
      </c>
      <c r="B2" s="5" t="inlineStr">
        <is>
          <t>Phenolic + Furanoid</t>
        </is>
      </c>
      <c r="C2" s="5" t="n">
        <v>43.32</v>
      </c>
      <c r="D2" s="5" t="n">
        <v>0.975</v>
      </c>
      <c r="E2" s="6" t="n"/>
      <c r="F2" s="6" t="n"/>
      <c r="G2" s="6" t="n"/>
      <c r="H2" s="6" t="n"/>
      <c r="I2" s="6" t="n"/>
      <c r="J2" s="6" t="n"/>
      <c r="K2" s="6" t="n"/>
    </row>
    <row r="3">
      <c r="A3" s="5" t="inlineStr">
        <is>
          <t>B</t>
        </is>
      </c>
      <c r="B3" s="5" t="inlineStr">
        <is>
          <t>Hydrocarbon</t>
        </is>
      </c>
      <c r="C3" s="5" t="n">
        <v>15.65</v>
      </c>
      <c r="D3" s="5" t="n">
        <v>0.352</v>
      </c>
      <c r="E3" s="6" t="n"/>
      <c r="F3" s="6" t="n"/>
      <c r="G3" s="6" t="n"/>
      <c r="H3" s="6" t="n"/>
      <c r="I3" s="6" t="n"/>
      <c r="J3" s="6" t="n"/>
      <c r="K3" s="6" t="n"/>
    </row>
    <row r="4">
      <c r="A4" s="5" t="inlineStr">
        <is>
          <t>C</t>
        </is>
      </c>
      <c r="B4" s="5" t="inlineStr">
        <is>
          <t>Oxygenate (carbonyls)</t>
        </is>
      </c>
      <c r="C4" s="5" t="n">
        <v>37.9</v>
      </c>
      <c r="D4" s="5" t="n">
        <v>0.853</v>
      </c>
      <c r="E4" s="6" t="n"/>
      <c r="F4" s="6" t="n"/>
      <c r="G4" s="6" t="n"/>
      <c r="H4" s="6" t="n"/>
      <c r="I4" s="6" t="n"/>
      <c r="J4" s="6" t="n"/>
      <c r="K4" s="6" t="n"/>
    </row>
    <row r="5">
      <c r="A5" s="5" t="inlineStr">
        <is>
          <t>D</t>
        </is>
      </c>
      <c r="B5" s="5" t="inlineStr">
        <is>
          <t>Oxygenate (acids)</t>
        </is>
      </c>
      <c r="C5" s="5" t="n">
        <v>11.09</v>
      </c>
      <c r="D5" s="5" t="n">
        <v>0.25</v>
      </c>
      <c r="E5" s="6" t="n"/>
      <c r="F5" s="6" t="n"/>
      <c r="G5" s="6" t="n"/>
      <c r="H5" s="6" t="n"/>
      <c r="I5" s="6" t="n"/>
      <c r="J5" s="6" t="n"/>
      <c r="K5" s="6" t="n"/>
    </row>
  </sheetData>
  <dataValidations count="2">
    <dataValidation sqref="E2:E5" showDropDown="0" showInputMessage="0" showErrorMessage="0" allowBlank="1" type="list">
      <formula1>"Y,N"</formula1>
    </dataValidation>
    <dataValidation sqref="I2:I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7" t="inlineStr">
        <is>
          <t>Reference scenario / assumptions</t>
        </is>
      </c>
    </row>
    <row r="3">
      <c r="A3" s="8" t="inlineStr">
        <is>
          <t>Chamber</t>
        </is>
      </c>
      <c r="B3" t="inlineStr">
        <is>
          <t>SAPHIR</t>
        </is>
      </c>
    </row>
    <row r="4">
      <c r="A4" s="8" t="inlineStr">
        <is>
          <t>Volume (m³)</t>
        </is>
      </c>
      <c r="B4" t="n">
        <v>270</v>
      </c>
    </row>
    <row r="5">
      <c r="A5" s="8" t="inlineStr">
        <is>
          <t>Temperature (K)</t>
        </is>
      </c>
      <c r="B5" t="n">
        <v>298.15</v>
      </c>
    </row>
    <row r="6">
      <c r="A6" s="8" t="inlineStr">
        <is>
          <t>Pressure (Pa)</t>
        </is>
      </c>
      <c r="B6" t="n">
        <v>101325</v>
      </c>
    </row>
    <row r="7">
      <c r="A7" s="8" t="inlineStr">
        <is>
          <t>n_air (mol)</t>
        </is>
      </c>
      <c r="B7" t="n">
        <v>11036</v>
      </c>
    </row>
    <row r="8">
      <c r="A8" s="8" t="inlineStr">
        <is>
          <t>Total VOC target (ppb)</t>
        </is>
      </c>
      <c r="B8" t="n">
        <v>150</v>
      </c>
    </row>
    <row r="9">
      <c r="A9" s="8" t="inlineStr">
        <is>
          <t>Number of experiments</t>
        </is>
      </c>
      <c r="B9" t="n">
        <v>15</v>
      </c>
    </row>
    <row r="10">
      <c r="A10" s="8" t="inlineStr">
        <is>
          <t>Safety factor</t>
        </is>
      </c>
      <c r="B10" t="n">
        <v>1.5</v>
      </c>
    </row>
    <row r="11">
      <c r="A11" s="8" t="inlineStr">
        <is>
          <t>MCE flaming</t>
        </is>
      </c>
      <c r="B11" t="n">
        <v>0.95</v>
      </c>
    </row>
    <row r="12">
      <c r="A12" s="8" t="inlineStr">
        <is>
          <t>MCE smoldering</t>
        </is>
      </c>
      <c r="B12" t="n">
        <v>0.9</v>
      </c>
    </row>
    <row r="13">
      <c r="A13" s="8" t="inlineStr">
        <is>
          <t>NOy:VOC source</t>
        </is>
      </c>
      <c r="B13" t="inlineStr">
        <is>
          <t>Gkatzelis 2024 ACP Fig. 7c (power fit)</t>
        </is>
      </c>
    </row>
    <row r="14">
      <c r="A14" s="8" t="inlineStr">
        <is>
          <t>NOy speciation</t>
        </is>
      </c>
      <c r="B14" t="inlineStr">
        <is>
          <t>70% NO / 20% NO2 / 10% HONO (Roberts 2020)</t>
        </is>
      </c>
    </row>
    <row r="15">
      <c r="A15" s="8" t="inlineStr">
        <is>
          <t>CO:VOC source</t>
        </is>
      </c>
      <c r="B15" t="inlineStr">
        <is>
          <t>Gkatzelis 2024 ACP Fig. 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2026-06-29T06:12:48Z</dcterms:created>
  <dcterms:modified xsi:type="dcterms:W3CDTF">2026-06-29T06:12:48Z</dcterms:modified>
</cp:coreProperties>
</file>