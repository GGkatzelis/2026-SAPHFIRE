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gkatzelis\Desktop\My Folders\My Coding\Python\GitHub\2026 SAPHFIRE\"/>
    </mc:Choice>
  </mc:AlternateContent>
  <xr:revisionPtr revIDLastSave="0" documentId="13_ncr:1_{1C3E7FA8-46AE-4EFE-921E-97AA70A779F9}" xr6:coauthVersionLast="47" xr6:coauthVersionMax="47" xr10:uidLastSave="{00000000-0000-0000-0000-000000000000}"/>
  <bookViews>
    <workbookView xWindow="-60" yWindow="16080" windowWidth="29040" windowHeight="17520" activeTab="3" xr2:uid="{2BA373BA-44CF-4943-B6D6-8E642C31D16F}"/>
  </bookViews>
  <sheets>
    <sheet name="old" sheetId="1" r:id="rId1"/>
    <sheet name="Georgios Updates RD" sheetId="2" r:id="rId2"/>
    <sheet name="Mixtures 24.06.2026" sheetId="3" r:id="rId3"/>
    <sheet name="NMOGs INJE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4" l="1"/>
  <c r="H11" i="4" s="1"/>
  <c r="H10" i="4"/>
  <c r="H8" i="4"/>
  <c r="H7" i="4"/>
  <c r="H6" i="4"/>
  <c r="H5" i="4"/>
  <c r="C65" i="4"/>
  <c r="D5" i="4"/>
  <c r="E5" i="4"/>
  <c r="C72" i="4"/>
  <c r="D63" i="4"/>
  <c r="D65" i="4" s="1"/>
  <c r="D64" i="4"/>
  <c r="C59" i="4"/>
  <c r="D58" i="4" s="1"/>
  <c r="D56" i="4"/>
  <c r="C51" i="4"/>
  <c r="N47" i="4"/>
  <c r="C47" i="4"/>
  <c r="C33" i="4"/>
  <c r="D26" i="4" s="1"/>
  <c r="D31" i="4"/>
  <c r="D30" i="4"/>
  <c r="D29" i="4"/>
  <c r="D27" i="4"/>
  <c r="D25" i="4"/>
  <c r="E21" i="4"/>
  <c r="E20" i="4"/>
  <c r="D19" i="4"/>
  <c r="C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D65" i="3"/>
  <c r="C65" i="3"/>
  <c r="D64" i="3"/>
  <c r="D63" i="3"/>
  <c r="C47" i="3"/>
  <c r="C51" i="3"/>
  <c r="E6" i="3"/>
  <c r="C59" i="3"/>
  <c r="D57" i="3" s="1"/>
  <c r="C33" i="3"/>
  <c r="D32" i="3" s="1"/>
  <c r="E12" i="3"/>
  <c r="E13" i="3"/>
  <c r="E14" i="3"/>
  <c r="E15" i="3"/>
  <c r="E16" i="3"/>
  <c r="E17" i="3"/>
  <c r="E18" i="3"/>
  <c r="E11" i="3"/>
  <c r="E7" i="3"/>
  <c r="E8" i="3"/>
  <c r="E9" i="3"/>
  <c r="E10" i="3"/>
  <c r="E5" i="3"/>
  <c r="C19" i="3"/>
  <c r="D10" i="3" s="1"/>
  <c r="N47" i="3"/>
  <c r="O33" i="2"/>
  <c r="K60" i="2"/>
  <c r="K59" i="2"/>
  <c r="K58" i="2"/>
  <c r="N5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40" i="2"/>
  <c r="K28" i="2"/>
  <c r="K29" i="2"/>
  <c r="K30" i="2"/>
  <c r="K31" i="2"/>
  <c r="K32" i="2"/>
  <c r="K33" i="2"/>
  <c r="K34" i="2"/>
  <c r="K27" i="2"/>
  <c r="K21" i="2"/>
  <c r="K22" i="2"/>
  <c r="K15" i="2"/>
  <c r="K16" i="2"/>
  <c r="K17" i="2"/>
  <c r="K18" i="2"/>
  <c r="K19" i="2"/>
  <c r="K8" i="2"/>
  <c r="K9" i="2"/>
  <c r="K10" i="2"/>
  <c r="L29" i="2"/>
  <c r="L15" i="2"/>
  <c r="J11" i="2"/>
  <c r="J8" i="2" s="1"/>
  <c r="C75" i="2"/>
  <c r="C65" i="2"/>
  <c r="C73" i="2" s="1"/>
  <c r="C61" i="2"/>
  <c r="C63" i="2" s="1"/>
  <c r="C54" i="2"/>
  <c r="C68" i="2" s="1"/>
  <c r="C35" i="2"/>
  <c r="C67" i="2" s="1"/>
  <c r="C23" i="2"/>
  <c r="C66" i="2" s="1"/>
  <c r="C11" i="2"/>
  <c r="G9" i="2"/>
  <c r="G16" i="2"/>
  <c r="G21" i="2"/>
  <c r="G33" i="2"/>
  <c r="G40" i="2"/>
  <c r="G45" i="2"/>
  <c r="G48" i="2"/>
  <c r="G53" i="2"/>
  <c r="G60" i="2"/>
  <c r="J59" i="2"/>
  <c r="J60" i="2"/>
  <c r="J58" i="2"/>
  <c r="J40" i="2"/>
  <c r="J41" i="2"/>
  <c r="J42" i="2"/>
  <c r="J43" i="2"/>
  <c r="J44" i="2"/>
  <c r="J45" i="2"/>
  <c r="J46" i="2"/>
  <c r="J47" i="2"/>
  <c r="J48" i="2"/>
  <c r="J49" i="2"/>
  <c r="J50" i="2"/>
  <c r="L50" i="2" s="1"/>
  <c r="J51" i="2"/>
  <c r="J52" i="2"/>
  <c r="J53" i="2"/>
  <c r="J39" i="2"/>
  <c r="J28" i="2"/>
  <c r="J29" i="2"/>
  <c r="J30" i="2"/>
  <c r="J31" i="2"/>
  <c r="J32" i="2"/>
  <c r="J33" i="2"/>
  <c r="J34" i="2"/>
  <c r="J27" i="2"/>
  <c r="J22" i="2"/>
  <c r="J16" i="2"/>
  <c r="L16" i="2" s="1"/>
  <c r="J17" i="2"/>
  <c r="J18" i="2"/>
  <c r="J19" i="2"/>
  <c r="J20" i="2"/>
  <c r="J21" i="2"/>
  <c r="J15" i="2"/>
  <c r="D33" i="2"/>
  <c r="D59" i="2"/>
  <c r="G59" i="2" s="1"/>
  <c r="D60" i="2"/>
  <c r="D58" i="2"/>
  <c r="G58" i="2" s="1"/>
  <c r="D40" i="2"/>
  <c r="D41" i="2"/>
  <c r="G41" i="2" s="1"/>
  <c r="D42" i="2"/>
  <c r="G42" i="2" s="1"/>
  <c r="D43" i="2"/>
  <c r="G43" i="2" s="1"/>
  <c r="D44" i="2"/>
  <c r="G44" i="2" s="1"/>
  <c r="D45" i="2"/>
  <c r="D46" i="2"/>
  <c r="G46" i="2" s="1"/>
  <c r="D47" i="2"/>
  <c r="G47" i="2" s="1"/>
  <c r="D48" i="2"/>
  <c r="D49" i="2"/>
  <c r="G49" i="2" s="1"/>
  <c r="D50" i="2"/>
  <c r="G50" i="2" s="1"/>
  <c r="D51" i="2"/>
  <c r="G51" i="2" s="1"/>
  <c r="D52" i="2"/>
  <c r="G52" i="2" s="1"/>
  <c r="D53" i="2"/>
  <c r="D39" i="2"/>
  <c r="G39" i="2" s="1"/>
  <c r="D28" i="2"/>
  <c r="D29" i="2"/>
  <c r="D30" i="2"/>
  <c r="D31" i="2"/>
  <c r="G31" i="2" s="1"/>
  <c r="D32" i="2"/>
  <c r="G32" i="2" s="1"/>
  <c r="D34" i="2"/>
  <c r="D27" i="2"/>
  <c r="D16" i="2"/>
  <c r="D17" i="2"/>
  <c r="G17" i="2" s="1"/>
  <c r="D18" i="2"/>
  <c r="G18" i="2" s="1"/>
  <c r="D19" i="2"/>
  <c r="G19" i="2" s="1"/>
  <c r="D20" i="2"/>
  <c r="G20" i="2" s="1"/>
  <c r="D21" i="2"/>
  <c r="D22" i="2"/>
  <c r="G22" i="2" s="1"/>
  <c r="D15" i="2"/>
  <c r="D23" i="2" s="1"/>
  <c r="D6" i="2"/>
  <c r="G6" i="2" s="1"/>
  <c r="D7" i="2"/>
  <c r="G7" i="2" s="1"/>
  <c r="D8" i="2"/>
  <c r="D9" i="2"/>
  <c r="D10" i="2"/>
  <c r="G10" i="2" s="1"/>
  <c r="D5" i="2"/>
  <c r="F68" i="1"/>
  <c r="F67" i="1"/>
  <c r="F66" i="1"/>
  <c r="F65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43" i="1"/>
  <c r="F30" i="1"/>
  <c r="F31" i="1"/>
  <c r="F32" i="1"/>
  <c r="F33" i="1"/>
  <c r="F34" i="1"/>
  <c r="F35" i="1"/>
  <c r="F36" i="1"/>
  <c r="F29" i="1"/>
  <c r="F3" i="1"/>
  <c r="F4" i="1"/>
  <c r="F5" i="1"/>
  <c r="F6" i="1"/>
  <c r="F7" i="1"/>
  <c r="F8" i="1"/>
  <c r="F9" i="1"/>
  <c r="F22" i="1"/>
  <c r="F21" i="1"/>
  <c r="F20" i="1"/>
  <c r="F19" i="1"/>
  <c r="F18" i="1"/>
  <c r="F17" i="1"/>
  <c r="F16" i="1"/>
  <c r="F15" i="1"/>
  <c r="D59" i="1"/>
  <c r="D69" i="1"/>
  <c r="C69" i="1"/>
  <c r="C59" i="1"/>
  <c r="D37" i="1"/>
  <c r="C37" i="1"/>
  <c r="D23" i="1"/>
  <c r="C23" i="1"/>
  <c r="D9" i="1"/>
  <c r="C9" i="1"/>
  <c r="D28" i="4" l="1"/>
  <c r="D33" i="4" s="1"/>
  <c r="C52" i="4"/>
  <c r="D32" i="4"/>
  <c r="D57" i="4"/>
  <c r="D59" i="4" s="1"/>
  <c r="C52" i="3"/>
  <c r="D43" i="3" s="1"/>
  <c r="D56" i="3"/>
  <c r="D58" i="3"/>
  <c r="D59" i="3" s="1"/>
  <c r="E20" i="3"/>
  <c r="D29" i="3"/>
  <c r="D17" i="3"/>
  <c r="D31" i="3"/>
  <c r="D30" i="3"/>
  <c r="D6" i="3"/>
  <c r="D28" i="3"/>
  <c r="D27" i="3"/>
  <c r="E21" i="3"/>
  <c r="D26" i="3"/>
  <c r="D25" i="3"/>
  <c r="D7" i="3"/>
  <c r="D16" i="3"/>
  <c r="D15" i="3"/>
  <c r="D14" i="3"/>
  <c r="D13" i="3"/>
  <c r="D9" i="3"/>
  <c r="D8" i="3"/>
  <c r="D5" i="3"/>
  <c r="D11" i="3"/>
  <c r="D12" i="3"/>
  <c r="D18" i="3"/>
  <c r="L30" i="2"/>
  <c r="L28" i="2"/>
  <c r="J5" i="2"/>
  <c r="L5" i="2"/>
  <c r="J7" i="2"/>
  <c r="L7" i="2" s="1"/>
  <c r="J10" i="2"/>
  <c r="J6" i="2"/>
  <c r="J9" i="2"/>
  <c r="L8" i="2"/>
  <c r="C70" i="2"/>
  <c r="C74" i="2"/>
  <c r="L27" i="2"/>
  <c r="L34" i="2"/>
  <c r="G28" i="2"/>
  <c r="L18" i="2"/>
  <c r="G27" i="2"/>
  <c r="G15" i="2"/>
  <c r="C69" i="2"/>
  <c r="L17" i="2"/>
  <c r="G34" i="2"/>
  <c r="G8" i="2"/>
  <c r="K39" i="2"/>
  <c r="L46" i="2"/>
  <c r="G30" i="2"/>
  <c r="L32" i="2"/>
  <c r="L33" i="2"/>
  <c r="G5" i="2"/>
  <c r="G29" i="2"/>
  <c r="L31" i="2"/>
  <c r="L39" i="2"/>
  <c r="L42" i="2"/>
  <c r="L60" i="2"/>
  <c r="L21" i="2"/>
  <c r="L49" i="2"/>
  <c r="L41" i="2"/>
  <c r="L48" i="2"/>
  <c r="L40" i="2"/>
  <c r="L47" i="2"/>
  <c r="L58" i="2"/>
  <c r="L59" i="2"/>
  <c r="L52" i="2"/>
  <c r="L44" i="2"/>
  <c r="L53" i="2"/>
  <c r="L45" i="2"/>
  <c r="L51" i="2"/>
  <c r="L43" i="2"/>
  <c r="L20" i="2"/>
  <c r="L22" i="2"/>
  <c r="L6" i="2"/>
  <c r="K5" i="2"/>
  <c r="K20" i="2"/>
  <c r="L10" i="2"/>
  <c r="L19" i="2"/>
  <c r="K7" i="2"/>
  <c r="K6" i="2"/>
  <c r="D11" i="2"/>
  <c r="D61" i="2"/>
  <c r="D54" i="2"/>
  <c r="D35" i="2"/>
  <c r="D41" i="4" l="1"/>
  <c r="D50" i="4"/>
  <c r="D40" i="4"/>
  <c r="D49" i="4"/>
  <c r="D39" i="4"/>
  <c r="D37" i="4"/>
  <c r="D52" i="4" s="1"/>
  <c r="D48" i="4"/>
  <c r="D38" i="4"/>
  <c r="D46" i="4"/>
  <c r="D44" i="4"/>
  <c r="D45" i="4"/>
  <c r="D43" i="4"/>
  <c r="D42" i="4"/>
  <c r="D51" i="4"/>
  <c r="D47" i="4"/>
  <c r="D46" i="3"/>
  <c r="D38" i="3"/>
  <c r="D39" i="3"/>
  <c r="D40" i="3"/>
  <c r="D37" i="3"/>
  <c r="D49" i="3"/>
  <c r="D42" i="3"/>
  <c r="D41" i="3"/>
  <c r="D52" i="3" s="1"/>
  <c r="D50" i="3"/>
  <c r="D45" i="3"/>
  <c r="D47" i="3"/>
  <c r="D44" i="3"/>
  <c r="D48" i="3"/>
  <c r="D51" i="3"/>
  <c r="D33" i="3"/>
  <c r="D19" i="3"/>
  <c r="L35" i="2"/>
  <c r="L9" i="2"/>
  <c r="L11" i="2"/>
  <c r="L61" i="2"/>
  <c r="L23" i="2"/>
  <c r="L24" i="2" s="1"/>
  <c r="L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tc={E41D31B3-47EE-43D0-AC30-2CB3D5133E85}</author>
    <author>tc={9FBA948B-56DC-4062-8EA0-8C09A1526D4C}</author>
    <author>tc={DE6A2438-55F5-4D26-9494-B96A5F97E812}</author>
    <author>tc={A87DBC63-083D-42DE-A43D-944FCA28F6D3}</author>
    <author>tc={71AE7BA2-736E-4628-BDA8-B0311613C5A6}</author>
  </authors>
  <commentList>
    <comment ref="B33" authorId="0" shapeId="0" xr:uid="{E41D31B3-47EE-43D0-AC30-2CB3D5133E85}">
      <text>
        <t>[Threaded comment]
Your version of Excel allows you to read this threaded comment; however, any edits to it will get removed if the file is opened in a newer version of Excel. Learn more: https://go.microsoft.com/fwlink/?linkid=870924
Comment:
    Mixture exists or has to be made? What are EB and OX</t>
      </text>
    </comment>
    <comment ref="B44" authorId="1" shapeId="0" xr:uid="{9FBA948B-56DC-4062-8EA0-8C09A1526D4C}">
      <text>
        <t>[Threaded comment]
Your version of Excel allows you to read this threaded comment; however, any edits to it will get removed if the file is opened in a newer version of Excel. Learn more: https://go.microsoft.com/fwlink/?linkid=870924
Comment:
    Wird anders zugegeben -&gt;Ralf</t>
      </text>
    </comment>
    <comment ref="D59" authorId="2" shapeId="0" xr:uid="{DE6A2438-55F5-4D26-9494-B96A5F97E812}">
      <text>
        <t>[Threaded comment]
Your version of Excel allows you to read this threaded comment; however, any edits to it will get removed if the file is opened in a newer version of Excel. Learn more: https://go.microsoft.com/fwlink/?linkid=870924
Comment:
    Aufstocken Formaldehyd</t>
      </text>
    </comment>
    <comment ref="B68" authorId="3" shapeId="0" xr:uid="{A87DBC63-083D-42DE-A43D-944FCA28F6D3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mixture exist? Acrylic acid already 3 lines above no?</t>
      </text>
    </comment>
    <comment ref="D69" authorId="4" shapeId="0" xr:uid="{71AE7BA2-736E-4628-BDA8-B0311613C5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add up to 100</t>
      </text>
    </comment>
  </commentList>
</comments>
</file>

<file path=xl/sharedStrings.xml><?xml version="1.0" encoding="utf-8"?>
<sst xmlns="http://schemas.openxmlformats.org/spreadsheetml/2006/main" count="627" uniqueCount="146">
  <si>
    <t>Phenolic Mixture</t>
  </si>
  <si>
    <t>FIRELAB compound</t>
  </si>
  <si>
    <t>Surrogate</t>
  </si>
  <si>
    <t>Surrogate mass %</t>
  </si>
  <si>
    <t>Mixture mass %</t>
  </si>
  <si>
    <t>Guaiacol (=2-methoxyphenol)</t>
  </si>
  <si>
    <t>Guaiacol</t>
  </si>
  <si>
    <t>2-Methylphenol (=o-cresol) + anisol</t>
  </si>
  <si>
    <t>O-cresol</t>
  </si>
  <si>
    <t>Catechol</t>
  </si>
  <si>
    <t>2-Methoxy-4-methylphenol (=creosol)</t>
  </si>
  <si>
    <t>Creosol</t>
  </si>
  <si>
    <t>Phenol</t>
  </si>
  <si>
    <t>Eugenol + isoeugenol</t>
  </si>
  <si>
    <t>Eugenol</t>
  </si>
  <si>
    <t>Furanoid Mixture</t>
  </si>
  <si>
    <t>2-furfural + 3-furfural + other HCO2</t>
  </si>
  <si>
    <t>2-furfural</t>
  </si>
  <si>
    <t>5-methyl-furfural</t>
  </si>
  <si>
    <t>2-furanmethanol + other HCO2</t>
  </si>
  <si>
    <t>2-furanmethanol</t>
  </si>
  <si>
    <t>2-(3H)Furanone</t>
  </si>
  <si>
    <t>Furan</t>
  </si>
  <si>
    <t>5-(hydroxymethyl)-2-furfural</t>
  </si>
  <si>
    <t>2-methylfuran + 3-methylfuran + general HCO</t>
  </si>
  <si>
    <t>2-methylfuran</t>
  </si>
  <si>
    <t>2,5-dimethylfuran + 2-ethylfuran + other C2 furans</t>
  </si>
  <si>
    <t>2,5-dimethylfuran</t>
  </si>
  <si>
    <t>Hydrocarbon Mix</t>
  </si>
  <si>
    <t>Monoterpenes</t>
  </si>
  <si>
    <t>a-pinene (or any monoterpene)</t>
  </si>
  <si>
    <t>Benzene</t>
  </si>
  <si>
    <t>benzene</t>
  </si>
  <si>
    <t>Toluene</t>
  </si>
  <si>
    <t>Isoprene</t>
  </si>
  <si>
    <t>Ethyl Benzene</t>
  </si>
  <si>
    <t>68% M+P, 10% EB, 23% OX</t>
  </si>
  <si>
    <t>M+P Xylene</t>
  </si>
  <si>
    <t>m-xylene</t>
  </si>
  <si>
    <t>O-xylene</t>
  </si>
  <si>
    <t>o-xylene</t>
  </si>
  <si>
    <t>Sesquiterpenes</t>
  </si>
  <si>
    <t>Sesquiterpene</t>
  </si>
  <si>
    <t>Oxygenate Mix 1</t>
  </si>
  <si>
    <t>Glycolaldehyde</t>
  </si>
  <si>
    <t>Formaldehyde</t>
  </si>
  <si>
    <t>formaldehyde</t>
  </si>
  <si>
    <t>Methanol</t>
  </si>
  <si>
    <t>Acetaldehyde</t>
  </si>
  <si>
    <t>Acrolein</t>
  </si>
  <si>
    <t>Methyl Acetate</t>
  </si>
  <si>
    <t>Hydroxy Acetone</t>
  </si>
  <si>
    <t>2,3-butanedione + methyl acrylate + other HCO2</t>
  </si>
  <si>
    <t>2,3-butanedione</t>
  </si>
  <si>
    <t>Acetone</t>
  </si>
  <si>
    <t>MVK</t>
  </si>
  <si>
    <t>MACR</t>
  </si>
  <si>
    <t>Crotonaldehyde</t>
  </si>
  <si>
    <t>Methyl Glyoxal</t>
  </si>
  <si>
    <t>Methyl methacrylate + other HCO2</t>
  </si>
  <si>
    <t>Methyl methacrylate</t>
  </si>
  <si>
    <t>Acetonitrile</t>
  </si>
  <si>
    <t>acetonitrile</t>
  </si>
  <si>
    <t>MEK + butanal + 2-methylpropanal</t>
  </si>
  <si>
    <t>MEK</t>
  </si>
  <si>
    <t>Oxygenate Mix 2</t>
  </si>
  <si>
    <t>Acrylic acid</t>
  </si>
  <si>
    <t>Acetic Acid</t>
  </si>
  <si>
    <t>Formic Acid</t>
  </si>
  <si>
    <t>Pyruvaldehyde (=methyl glyoxal) + acrylic acid</t>
  </si>
  <si>
    <t>50% methyl glyoxal, 50% acrylic acid</t>
  </si>
  <si>
    <t>state</t>
  </si>
  <si>
    <t>solid</t>
  </si>
  <si>
    <t>liquid</t>
  </si>
  <si>
    <t>???????</t>
  </si>
  <si>
    <t>FIRELAB Name</t>
  </si>
  <si>
    <t>Mass %</t>
  </si>
  <si>
    <t>Mixture Mass %</t>
  </si>
  <si>
    <t>2-Methoxy-4-methylphenol (= creosol)</t>
  </si>
  <si>
    <t>2,5-dimethyl furan + 2-ethylfuran + other C2 substituted furans</t>
  </si>
  <si>
    <t>2-(3H)Furanoe</t>
  </si>
  <si>
    <t xml:space="preserve">2,3-butanedione </t>
  </si>
  <si>
    <t>b-caryophyllene</t>
  </si>
  <si>
    <t>sol. H2O [g/L]</t>
  </si>
  <si>
    <t>density [g/ml]</t>
  </si>
  <si>
    <t>Mass solids [g]</t>
  </si>
  <si>
    <t>mass solution [g]</t>
  </si>
  <si>
    <t>change mass here….</t>
  </si>
  <si>
    <t>…..to adjust Volume for 8mL bottle</t>
  </si>
  <si>
    <t>ratio</t>
  </si>
  <si>
    <t>Glycolaldehyde dimer</t>
  </si>
  <si>
    <t>bottle size</t>
  </si>
  <si>
    <t>calc. Volume [mL] (solid density as liquid approx. if unknown)</t>
  </si>
  <si>
    <t>Total Mass Compared to Inventory</t>
  </si>
  <si>
    <t>Mixtures Relative Contributions</t>
  </si>
  <si>
    <t>Phenolic vs Furanoid</t>
  </si>
  <si>
    <t>a-pinene</t>
  </si>
  <si>
    <t>iso-Eugenol</t>
  </si>
  <si>
    <t>40% in H2O</t>
  </si>
  <si>
    <t>liquid (why?) mp.31°C</t>
  </si>
  <si>
    <t>comments</t>
  </si>
  <si>
    <t>10g</t>
  </si>
  <si>
    <t>100g</t>
  </si>
  <si>
    <t>250g</t>
  </si>
  <si>
    <t>80g</t>
  </si>
  <si>
    <t>5g</t>
  </si>
  <si>
    <t>5ml</t>
  </si>
  <si>
    <t>1g</t>
  </si>
  <si>
    <t>3x1g</t>
  </si>
  <si>
    <t>25ml</t>
  </si>
  <si>
    <t>2x5ml</t>
  </si>
  <si>
    <t>1000ml</t>
  </si>
  <si>
    <t>200ml</t>
  </si>
  <si>
    <t>2*1ml+1*10ml</t>
  </si>
  <si>
    <t>liquid (mp.~25°C)</t>
  </si>
  <si>
    <t>3x1ml</t>
  </si>
  <si>
    <t>50ml</t>
  </si>
  <si>
    <t>500ml</t>
  </si>
  <si>
    <t>1500ml</t>
  </si>
  <si>
    <t>100ml</t>
  </si>
  <si>
    <t>ca. 0.9g</t>
  </si>
  <si>
    <t>looking for Monoterpen with enough available</t>
  </si>
  <si>
    <t>3mL</t>
  </si>
  <si>
    <t>get out of fridge 1day bevor (mp 13°C)</t>
  </si>
  <si>
    <t>maybe not enough available, no other user in FZJ</t>
  </si>
  <si>
    <t>new surogate, Eugenol not available, Eucalyptol ordered instead, get out of fridge 1day early</t>
  </si>
  <si>
    <t>liquid (mp.19-23°C)</t>
  </si>
  <si>
    <t>10ml</t>
  </si>
  <si>
    <t>Sören's bottle acquired</t>
  </si>
  <si>
    <t>5mL+50ml(old)</t>
  </si>
  <si>
    <t>borrowed from JCNS-1</t>
  </si>
  <si>
    <t>Phenolic + Furanoid Mixture</t>
  </si>
  <si>
    <t>Mass [g]</t>
  </si>
  <si>
    <t>Mixture Mass % in Phenolic or Furanoid</t>
  </si>
  <si>
    <t>Phenolic</t>
  </si>
  <si>
    <t>Furanoid</t>
  </si>
  <si>
    <t>_</t>
  </si>
  <si>
    <t>Water from Methyl Glyoxal Solution</t>
  </si>
  <si>
    <t>Water</t>
  </si>
  <si>
    <t>Gasses Mix</t>
  </si>
  <si>
    <t>Propene</t>
  </si>
  <si>
    <t>ethene</t>
  </si>
  <si>
    <t>Ethene</t>
  </si>
  <si>
    <t>acetylene</t>
  </si>
  <si>
    <t>Oxygenate Mix 3</t>
  </si>
  <si>
    <t>we can 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</si>
</sst>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000000"/>
      <name val="Aptos"/>
      <family val="2"/>
    </font>
    <font>
      <b/>
      <sz val="10.5"/>
      <color theme="1"/>
      <name val="Aptos"/>
      <family val="2"/>
    </font>
    <font>
      <sz val="10.5"/>
      <color theme="1"/>
      <name val="Aptos"/>
      <family val="2"/>
    </font>
    <font>
      <strike/>
      <sz val="10.5"/>
      <color theme="1"/>
      <name val="Aptos"/>
      <family val="2"/>
    </font>
    <font>
      <strike/>
      <sz val="11"/>
      <color theme="1"/>
      <name val="Aptos Narrow"/>
      <family val="2"/>
      <scheme val="minor"/>
    </font>
    <font>
      <strike/>
      <sz val="10.5"/>
      <name val="Aptos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64" fontId="0" fillId="0" borderId="2" xfId="0" applyNumberForma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/>
    </xf>
    <xf numFmtId="0" fontId="0" fillId="0" borderId="5" xfId="0" applyBorder="1"/>
    <xf numFmtId="0" fontId="8" fillId="0" borderId="4" xfId="0" applyFont="1" applyBorder="1"/>
    <xf numFmtId="0" fontId="1" fillId="0" borderId="0" xfId="0" applyFont="1"/>
    <xf numFmtId="2" fontId="0" fillId="0" borderId="7" xfId="0" applyNumberFormat="1" applyBorder="1" applyAlignment="1">
      <alignment horizontal="center"/>
    </xf>
    <xf numFmtId="0" fontId="9" fillId="0" borderId="0" xfId="0" applyFont="1"/>
    <xf numFmtId="165" fontId="0" fillId="0" borderId="5" xfId="0" applyNumberFormat="1" applyBorder="1"/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8" xfId="0" applyNumberFormat="1" applyBorder="1"/>
    <xf numFmtId="0" fontId="11" fillId="0" borderId="0" xfId="0" applyFont="1"/>
    <xf numFmtId="0" fontId="11" fillId="0" borderId="2" xfId="0" applyFont="1" applyBorder="1"/>
    <xf numFmtId="0" fontId="11" fillId="0" borderId="7" xfId="0" applyFont="1" applyBorder="1"/>
    <xf numFmtId="2" fontId="11" fillId="0" borderId="0" xfId="0" applyNumberFormat="1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1" fillId="0" borderId="0" xfId="0" applyNumberFormat="1" applyFont="1"/>
    <xf numFmtId="0" fontId="10" fillId="0" borderId="0" xfId="0" applyFont="1"/>
    <xf numFmtId="165" fontId="9" fillId="0" borderId="5" xfId="0" applyNumberFormat="1" applyFont="1" applyBorder="1"/>
    <xf numFmtId="2" fontId="0" fillId="0" borderId="7" xfId="0" applyNumberFormat="1" applyBorder="1"/>
    <xf numFmtId="0" fontId="12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0" fillId="0" borderId="8" xfId="0" applyBorder="1"/>
    <xf numFmtId="0" fontId="12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center"/>
    </xf>
    <xf numFmtId="165" fontId="11" fillId="0" borderId="5" xfId="0" applyNumberFormat="1" applyFont="1" applyBorder="1"/>
    <xf numFmtId="165" fontId="11" fillId="0" borderId="8" xfId="0" applyNumberFormat="1" applyFont="1" applyBorder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7" xfId="0" applyFont="1" applyBorder="1"/>
    <xf numFmtId="2" fontId="11" fillId="0" borderId="7" xfId="0" applyNumberFormat="1" applyFont="1" applyBorder="1"/>
    <xf numFmtId="2" fontId="10" fillId="0" borderId="0" xfId="0" applyNumberFormat="1" applyFont="1"/>
    <xf numFmtId="164" fontId="10" fillId="0" borderId="0" xfId="0" applyNumberFormat="1" applyFont="1"/>
    <xf numFmtId="165" fontId="9" fillId="0" borderId="0" xfId="0" applyNumberFormat="1" applyFont="1"/>
    <xf numFmtId="165" fontId="11" fillId="0" borderId="0" xfId="0" applyNumberFormat="1" applyFo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7" fontId="0" fillId="0" borderId="0" xfId="0" applyNumberFormat="1"/>
    <xf numFmtId="167" fontId="0" fillId="0" borderId="2" xfId="0" applyNumberFormat="1" applyBorder="1"/>
    <xf numFmtId="167" fontId="1" fillId="0" borderId="0" xfId="0" applyNumberFormat="1" applyFont="1"/>
    <xf numFmtId="167" fontId="11" fillId="0" borderId="7" xfId="0" applyNumberFormat="1" applyFont="1" applyBorder="1"/>
    <xf numFmtId="167" fontId="0" fillId="0" borderId="7" xfId="0" applyNumberFormat="1" applyBorder="1"/>
    <xf numFmtId="167" fontId="1" fillId="0" borderId="2" xfId="0" applyNumberFormat="1" applyFont="1" applyBorder="1"/>
    <xf numFmtId="167" fontId="9" fillId="0" borderId="0" xfId="0" applyNumberFormat="1" applyFont="1"/>
    <xf numFmtId="167" fontId="1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0" fillId="0" borderId="6" xfId="0" quotePrefix="1" applyBorder="1"/>
    <xf numFmtId="0" fontId="1" fillId="0" borderId="5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7" fontId="11" fillId="0" borderId="0" xfId="0" applyNumberFormat="1" applyFont="1"/>
    <xf numFmtId="164" fontId="1" fillId="0" borderId="3" xfId="0" applyNumberFormat="1" applyFont="1" applyBorder="1" applyAlignment="1">
      <alignment horizontal="center"/>
    </xf>
    <xf numFmtId="0" fontId="0" fillId="3" borderId="7" xfId="0" applyFill="1" applyBorder="1"/>
    <xf numFmtId="167" fontId="10" fillId="0" borderId="0" xfId="0" applyNumberFormat="1" applyFont="1"/>
    <xf numFmtId="164" fontId="10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/>
    <xf numFmtId="0" fontId="0" fillId="0" borderId="4" xfId="0" applyBorder="1"/>
    <xf numFmtId="0" fontId="0" fillId="0" borderId="7" xfId="0" applyBorder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4" xfId="0" applyFont="1" applyBorder="1"/>
    <xf numFmtId="0" fontId="0" fillId="0" borderId="6" xfId="0" applyBorder="1"/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14" xfId="0" applyFont="1" applyBorder="1"/>
    <xf numFmtId="2" fontId="0" fillId="0" borderId="14" xfId="0" applyNumberFormat="1" applyBorder="1"/>
    <xf numFmtId="164" fontId="1" fillId="0" borderId="14" xfId="0" applyNumberFormat="1" applyFont="1" applyBorder="1" applyAlignment="1">
      <alignment horizontal="center"/>
    </xf>
    <xf numFmtId="0" fontId="13" fillId="0" borderId="14" xfId="0" applyFont="1" applyBorder="1"/>
    <xf numFmtId="2" fontId="14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bus, René" id="{F4DF76F9-4875-4664-A03E-771737712903}" userId="S::r.dubus@fz-juelich.de::cd7627b3-ee7d-477d-bb62-acdee398ed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" dT="2026-06-18T11:08:09.89" personId="{F4DF76F9-4875-4664-A03E-771737712903}" id="{E41D31B3-47EE-43D0-AC30-2CB3D5133E85}">
    <text>Mixture exists or has to be made? What are EB and OX</text>
  </threadedComment>
  <threadedComment ref="B44" dT="2026-06-18T11:26:14.14" personId="{F4DF76F9-4875-4664-A03E-771737712903}" id="{9FBA948B-56DC-4062-8EA0-8C09A1526D4C}">
    <text>Wird anders zugegeben -&gt;Ralf</text>
  </threadedComment>
  <threadedComment ref="D59" dT="2026-06-18T11:27:22.24" personId="{F4DF76F9-4875-4664-A03E-771737712903}" id="{DE6A2438-55F5-4D26-9494-B96A5F97E812}">
    <text>Aufstocken Formaldehyd</text>
  </threadedComment>
  <threadedComment ref="B68" dT="2026-06-18T11:08:52.42" personId="{F4DF76F9-4875-4664-A03E-771737712903}" id="{A87DBC63-083D-42DE-A43D-944FCA28F6D3}">
    <text>Does mixture exist? Acrylic acid already 3 lines above no?</text>
  </threadedComment>
  <threadedComment ref="D69" dT="2026-06-18T11:09:12.64" personId="{F4DF76F9-4875-4664-A03E-771737712903}" id="{71AE7BA2-736E-4628-BDA8-B0311613C5A6}">
    <text>Does not add up to 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160B-2C6F-4767-B727-825F87A09179}">
  <dimension ref="A1:F69"/>
  <sheetViews>
    <sheetView topLeftCell="A28" workbookViewId="0">
      <selection activeCell="D34" sqref="D34"/>
    </sheetView>
  </sheetViews>
  <sheetFormatPr defaultColWidth="11.42578125" defaultRowHeight="15" x14ac:dyDescent="0.25"/>
  <cols>
    <col min="1" max="1" width="27" customWidth="1"/>
    <col min="2" max="2" width="31.42578125" customWidth="1"/>
    <col min="3" max="3" width="31.28515625" customWidth="1"/>
    <col min="4" max="4" width="27" customWidth="1"/>
  </cols>
  <sheetData>
    <row r="1" spans="1:6" x14ac:dyDescent="0.25">
      <c r="A1" s="90" t="s">
        <v>0</v>
      </c>
      <c r="B1" s="90"/>
      <c r="C1" s="90"/>
      <c r="D1" s="90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71</v>
      </c>
    </row>
    <row r="3" spans="1:6" ht="28.5" x14ac:dyDescent="0.25">
      <c r="A3" s="2" t="s">
        <v>5</v>
      </c>
      <c r="B3" s="2" t="s">
        <v>6</v>
      </c>
      <c r="C3" s="3">
        <v>3.9</v>
      </c>
      <c r="D3" s="3">
        <v>30.5</v>
      </c>
      <c r="E3" s="8" t="s">
        <v>72</v>
      </c>
      <c r="F3" s="14">
        <f t="shared" ref="F3:F9" si="0">D3/C3</f>
        <v>7.8205128205128203</v>
      </c>
    </row>
    <row r="4" spans="1:6" ht="28.5" x14ac:dyDescent="0.25">
      <c r="A4" s="2" t="s">
        <v>7</v>
      </c>
      <c r="B4" s="2" t="s">
        <v>8</v>
      </c>
      <c r="C4" s="3">
        <v>2.1</v>
      </c>
      <c r="D4" s="3">
        <v>16.399999999999999</v>
      </c>
      <c r="E4" s="8" t="s">
        <v>72</v>
      </c>
      <c r="F4" s="14">
        <f t="shared" si="0"/>
        <v>7.8095238095238084</v>
      </c>
    </row>
    <row r="5" spans="1:6" x14ac:dyDescent="0.25">
      <c r="A5" s="2" t="s">
        <v>9</v>
      </c>
      <c r="B5" s="2" t="s">
        <v>9</v>
      </c>
      <c r="C5" s="3">
        <v>1.8</v>
      </c>
      <c r="D5" s="3">
        <v>14.1</v>
      </c>
      <c r="E5" s="8" t="s">
        <v>72</v>
      </c>
      <c r="F5" s="14">
        <f t="shared" si="0"/>
        <v>7.833333333333333</v>
      </c>
    </row>
    <row r="6" spans="1:6" ht="28.5" x14ac:dyDescent="0.25">
      <c r="A6" s="2" t="s">
        <v>10</v>
      </c>
      <c r="B6" s="2" t="s">
        <v>11</v>
      </c>
      <c r="C6" s="3">
        <v>1.8</v>
      </c>
      <c r="D6" s="3">
        <v>14.1</v>
      </c>
      <c r="E6" t="s">
        <v>73</v>
      </c>
      <c r="F6" s="14">
        <f t="shared" si="0"/>
        <v>7.833333333333333</v>
      </c>
    </row>
    <row r="7" spans="1:6" x14ac:dyDescent="0.25">
      <c r="A7" s="2" t="s">
        <v>12</v>
      </c>
      <c r="B7" s="2" t="s">
        <v>12</v>
      </c>
      <c r="C7" s="3">
        <v>2.7</v>
      </c>
      <c r="D7" s="3">
        <v>21.1</v>
      </c>
      <c r="E7" s="8" t="s">
        <v>72</v>
      </c>
      <c r="F7" s="14">
        <f t="shared" si="0"/>
        <v>7.8148148148148149</v>
      </c>
    </row>
    <row r="8" spans="1:6" x14ac:dyDescent="0.25">
      <c r="A8" s="2" t="s">
        <v>13</v>
      </c>
      <c r="B8" s="2" t="s">
        <v>14</v>
      </c>
      <c r="C8" s="3">
        <v>0.5</v>
      </c>
      <c r="D8" s="3">
        <v>3.9</v>
      </c>
      <c r="E8" t="s">
        <v>73</v>
      </c>
      <c r="F8" s="14">
        <f t="shared" si="0"/>
        <v>7.8</v>
      </c>
    </row>
    <row r="9" spans="1:6" x14ac:dyDescent="0.25">
      <c r="A9" s="3"/>
      <c r="B9" s="2"/>
      <c r="C9" s="4">
        <f>SUM(C3:C8)</f>
        <v>12.8</v>
      </c>
      <c r="D9" s="4">
        <f>SUM(D3:D8)</f>
        <v>100.1</v>
      </c>
      <c r="F9" s="14">
        <f t="shared" si="0"/>
        <v>7.8203124999999991</v>
      </c>
    </row>
    <row r="10" spans="1:6" x14ac:dyDescent="0.25">
      <c r="A10" s="2"/>
      <c r="B10" s="2"/>
      <c r="C10" s="3"/>
      <c r="D10" s="3"/>
      <c r="F10" s="14"/>
    </row>
    <row r="11" spans="1:6" x14ac:dyDescent="0.25">
      <c r="A11" s="2"/>
      <c r="B11" s="2"/>
      <c r="C11" s="3"/>
      <c r="D11" s="3"/>
      <c r="F11" s="14"/>
    </row>
    <row r="12" spans="1:6" x14ac:dyDescent="0.25">
      <c r="A12" s="2"/>
      <c r="B12" s="2"/>
      <c r="C12" s="3"/>
      <c r="D12" s="3"/>
      <c r="F12" s="14"/>
    </row>
    <row r="13" spans="1:6" x14ac:dyDescent="0.25">
      <c r="A13" s="90" t="s">
        <v>15</v>
      </c>
      <c r="B13" s="90"/>
      <c r="C13" s="90"/>
      <c r="D13" s="90"/>
      <c r="F13" s="14"/>
    </row>
    <row r="14" spans="1:6" x14ac:dyDescent="0.25">
      <c r="A14" s="1" t="s">
        <v>1</v>
      </c>
      <c r="B14" s="1" t="s">
        <v>2</v>
      </c>
      <c r="C14" s="1" t="s">
        <v>3</v>
      </c>
      <c r="D14" s="1" t="s">
        <v>4</v>
      </c>
      <c r="F14" s="14"/>
    </row>
    <row r="15" spans="1:6" ht="28.5" x14ac:dyDescent="0.25">
      <c r="A15" s="2" t="s">
        <v>16</v>
      </c>
      <c r="B15" s="2" t="s">
        <v>17</v>
      </c>
      <c r="C15" s="3">
        <v>2.9</v>
      </c>
      <c r="D15" s="3">
        <v>16.2</v>
      </c>
      <c r="E15" t="s">
        <v>73</v>
      </c>
      <c r="F15" s="14">
        <f t="shared" ref="F15:F22" si="1">D15/C15</f>
        <v>5.5862068965517242</v>
      </c>
    </row>
    <row r="16" spans="1:6" x14ac:dyDescent="0.25">
      <c r="A16" s="2" t="s">
        <v>18</v>
      </c>
      <c r="B16" s="2" t="s">
        <v>18</v>
      </c>
      <c r="C16" s="3">
        <v>1.8</v>
      </c>
      <c r="D16" s="3">
        <v>10.1</v>
      </c>
      <c r="E16" t="s">
        <v>73</v>
      </c>
      <c r="F16" s="14">
        <f t="shared" si="1"/>
        <v>5.6111111111111107</v>
      </c>
    </row>
    <row r="17" spans="1:6" ht="28.5" x14ac:dyDescent="0.25">
      <c r="A17" s="2" t="s">
        <v>19</v>
      </c>
      <c r="B17" s="2" t="s">
        <v>20</v>
      </c>
      <c r="C17" s="3">
        <v>1.7</v>
      </c>
      <c r="D17" s="3">
        <v>9.5</v>
      </c>
      <c r="E17" t="s">
        <v>73</v>
      </c>
      <c r="F17" s="14">
        <f t="shared" si="1"/>
        <v>5.5882352941176476</v>
      </c>
    </row>
    <row r="18" spans="1:6" x14ac:dyDescent="0.25">
      <c r="A18" s="2" t="s">
        <v>21</v>
      </c>
      <c r="B18" s="2" t="s">
        <v>21</v>
      </c>
      <c r="C18" s="3">
        <v>3.5</v>
      </c>
      <c r="D18" s="3">
        <v>19.600000000000001</v>
      </c>
      <c r="E18" t="s">
        <v>73</v>
      </c>
      <c r="F18" s="14">
        <f t="shared" si="1"/>
        <v>5.6000000000000005</v>
      </c>
    </row>
    <row r="19" spans="1:6" x14ac:dyDescent="0.25">
      <c r="A19" s="2" t="s">
        <v>22</v>
      </c>
      <c r="B19" s="2" t="s">
        <v>22</v>
      </c>
      <c r="C19" s="3">
        <v>2.6</v>
      </c>
      <c r="D19" s="3">
        <v>14.5</v>
      </c>
      <c r="E19" t="s">
        <v>73</v>
      </c>
      <c r="F19" s="14">
        <f t="shared" si="1"/>
        <v>5.5769230769230766</v>
      </c>
    </row>
    <row r="20" spans="1:6" x14ac:dyDescent="0.25">
      <c r="A20" s="2" t="s">
        <v>23</v>
      </c>
      <c r="B20" s="2" t="s">
        <v>23</v>
      </c>
      <c r="C20" s="3">
        <v>2.8</v>
      </c>
      <c r="D20" s="3">
        <v>15.6</v>
      </c>
      <c r="E20" s="8" t="s">
        <v>72</v>
      </c>
      <c r="F20" s="14">
        <f t="shared" si="1"/>
        <v>5.5714285714285721</v>
      </c>
    </row>
    <row r="21" spans="1:6" ht="28.5" x14ac:dyDescent="0.25">
      <c r="A21" s="2" t="s">
        <v>24</v>
      </c>
      <c r="B21" s="2" t="s">
        <v>25</v>
      </c>
      <c r="C21" s="3">
        <v>1.6</v>
      </c>
      <c r="D21" s="3">
        <v>8.9</v>
      </c>
      <c r="E21" t="s">
        <v>73</v>
      </c>
      <c r="F21" s="14">
        <f t="shared" si="1"/>
        <v>5.5625</v>
      </c>
    </row>
    <row r="22" spans="1:6" ht="28.5" x14ac:dyDescent="0.25">
      <c r="A22" s="2" t="s">
        <v>26</v>
      </c>
      <c r="B22" s="2" t="s">
        <v>27</v>
      </c>
      <c r="C22" s="3">
        <v>1</v>
      </c>
      <c r="D22" s="3">
        <v>5.6</v>
      </c>
      <c r="E22" t="s">
        <v>73</v>
      </c>
      <c r="F22" s="14">
        <f t="shared" si="1"/>
        <v>5.6</v>
      </c>
    </row>
    <row r="23" spans="1:6" x14ac:dyDescent="0.25">
      <c r="A23" s="2"/>
      <c r="B23" s="2"/>
      <c r="C23" s="4">
        <f>SUM(C15:C22)</f>
        <v>17.900000000000002</v>
      </c>
      <c r="D23" s="4">
        <f>SUM(D15:D22)</f>
        <v>100</v>
      </c>
    </row>
    <row r="24" spans="1:6" x14ac:dyDescent="0.25">
      <c r="A24" s="2"/>
      <c r="B24" s="2"/>
      <c r="C24" s="3"/>
      <c r="D24" s="3"/>
    </row>
    <row r="25" spans="1:6" x14ac:dyDescent="0.25">
      <c r="A25" s="2"/>
      <c r="B25" s="2"/>
      <c r="C25" s="3"/>
      <c r="D25" s="3"/>
    </row>
    <row r="26" spans="1:6" x14ac:dyDescent="0.25">
      <c r="A26" s="2"/>
      <c r="B26" s="2"/>
      <c r="C26" s="3"/>
      <c r="D26" s="3"/>
    </row>
    <row r="27" spans="1:6" x14ac:dyDescent="0.25">
      <c r="A27" s="90" t="s">
        <v>28</v>
      </c>
      <c r="B27" s="90"/>
      <c r="C27" s="90"/>
      <c r="D27" s="90"/>
    </row>
    <row r="28" spans="1:6" x14ac:dyDescent="0.25">
      <c r="A28" s="1" t="s">
        <v>1</v>
      </c>
      <c r="B28" s="1" t="s">
        <v>2</v>
      </c>
      <c r="C28" s="1" t="s">
        <v>3</v>
      </c>
      <c r="D28" s="1" t="s">
        <v>4</v>
      </c>
    </row>
    <row r="29" spans="1:6" x14ac:dyDescent="0.25">
      <c r="A29" s="2" t="s">
        <v>29</v>
      </c>
      <c r="B29" s="2" t="s">
        <v>30</v>
      </c>
      <c r="C29" s="3">
        <v>4.4000000000000004</v>
      </c>
      <c r="D29" s="3">
        <v>49.4</v>
      </c>
      <c r="E29" t="s">
        <v>73</v>
      </c>
      <c r="F29" s="14">
        <f>D29/C29</f>
        <v>11.227272727272727</v>
      </c>
    </row>
    <row r="30" spans="1:6" x14ac:dyDescent="0.25">
      <c r="A30" s="2" t="s">
        <v>31</v>
      </c>
      <c r="B30" s="2" t="s">
        <v>32</v>
      </c>
      <c r="C30" s="3">
        <v>1.3</v>
      </c>
      <c r="D30" s="3">
        <v>14.6</v>
      </c>
      <c r="E30" t="s">
        <v>73</v>
      </c>
      <c r="F30" s="14">
        <f t="shared" ref="F30:F36" si="2">D30/C30</f>
        <v>11.23076923076923</v>
      </c>
    </row>
    <row r="31" spans="1:6" x14ac:dyDescent="0.25">
      <c r="A31" s="2" t="s">
        <v>33</v>
      </c>
      <c r="B31" s="2" t="s">
        <v>33</v>
      </c>
      <c r="C31" s="3">
        <v>1.4</v>
      </c>
      <c r="D31" s="3">
        <v>15.7</v>
      </c>
      <c r="E31" t="s">
        <v>73</v>
      </c>
      <c r="F31" s="14">
        <f t="shared" si="2"/>
        <v>11.214285714285715</v>
      </c>
    </row>
    <row r="32" spans="1:6" x14ac:dyDescent="0.25">
      <c r="A32" s="2" t="s">
        <v>34</v>
      </c>
      <c r="B32" s="2" t="s">
        <v>34</v>
      </c>
      <c r="C32" s="3">
        <v>0.8</v>
      </c>
      <c r="D32" s="3">
        <v>9</v>
      </c>
      <c r="E32" t="s">
        <v>73</v>
      </c>
      <c r="F32" s="14">
        <f t="shared" si="2"/>
        <v>11.25</v>
      </c>
    </row>
    <row r="33" spans="1:6" x14ac:dyDescent="0.25">
      <c r="A33" s="2" t="s">
        <v>35</v>
      </c>
      <c r="B33" s="6" t="s">
        <v>36</v>
      </c>
      <c r="C33" s="3">
        <v>0.1</v>
      </c>
      <c r="D33" s="3">
        <v>0.6</v>
      </c>
      <c r="F33" s="14">
        <f t="shared" si="2"/>
        <v>5.9999999999999991</v>
      </c>
    </row>
    <row r="34" spans="1:6" x14ac:dyDescent="0.25">
      <c r="A34" s="2" t="s">
        <v>37</v>
      </c>
      <c r="B34" s="2" t="s">
        <v>38</v>
      </c>
      <c r="C34" s="3">
        <v>0.3</v>
      </c>
      <c r="D34" s="3">
        <v>3.8</v>
      </c>
      <c r="E34" t="s">
        <v>73</v>
      </c>
      <c r="F34" s="14">
        <f t="shared" si="2"/>
        <v>12.666666666666666</v>
      </c>
    </row>
    <row r="35" spans="1:6" x14ac:dyDescent="0.25">
      <c r="A35" s="2" t="s">
        <v>39</v>
      </c>
      <c r="B35" s="2" t="s">
        <v>40</v>
      </c>
      <c r="C35" s="3">
        <v>0.1</v>
      </c>
      <c r="D35" s="3">
        <v>1.3</v>
      </c>
      <c r="E35" t="s">
        <v>73</v>
      </c>
      <c r="F35" s="14">
        <f t="shared" si="2"/>
        <v>13</v>
      </c>
    </row>
    <row r="36" spans="1:6" x14ac:dyDescent="0.25">
      <c r="A36" s="2" t="s">
        <v>41</v>
      </c>
      <c r="B36" s="2" t="s">
        <v>42</v>
      </c>
      <c r="C36" s="3">
        <v>0.5</v>
      </c>
      <c r="D36" s="3">
        <v>5.6</v>
      </c>
      <c r="E36" t="s">
        <v>74</v>
      </c>
      <c r="F36" s="14">
        <f t="shared" si="2"/>
        <v>11.2</v>
      </c>
    </row>
    <row r="37" spans="1:6" x14ac:dyDescent="0.25">
      <c r="A37" s="2"/>
      <c r="B37" s="2"/>
      <c r="C37" s="4">
        <f>SUM(C29:C36)</f>
        <v>8.8999999999999986</v>
      </c>
      <c r="D37" s="4">
        <f>SUM(D29:D36)</f>
        <v>99.999999999999986</v>
      </c>
    </row>
    <row r="38" spans="1:6" x14ac:dyDescent="0.25">
      <c r="A38" s="2"/>
      <c r="B38" s="2"/>
      <c r="C38" s="3"/>
      <c r="D38" s="3"/>
    </row>
    <row r="39" spans="1:6" x14ac:dyDescent="0.25">
      <c r="A39" s="2"/>
      <c r="B39" s="2"/>
      <c r="C39" s="3"/>
      <c r="D39" s="3"/>
    </row>
    <row r="40" spans="1:6" x14ac:dyDescent="0.25">
      <c r="A40" s="2"/>
      <c r="B40" s="2"/>
      <c r="C40" s="3"/>
      <c r="D40" s="3"/>
    </row>
    <row r="41" spans="1:6" x14ac:dyDescent="0.25">
      <c r="A41" s="90" t="s">
        <v>43</v>
      </c>
      <c r="B41" s="90"/>
      <c r="C41" s="90"/>
      <c r="D41" s="90"/>
    </row>
    <row r="42" spans="1:6" x14ac:dyDescent="0.25">
      <c r="A42" s="1" t="s">
        <v>1</v>
      </c>
      <c r="B42" s="1" t="s">
        <v>2</v>
      </c>
      <c r="C42" s="1" t="s">
        <v>3</v>
      </c>
      <c r="D42" s="1" t="s">
        <v>4</v>
      </c>
    </row>
    <row r="43" spans="1:6" x14ac:dyDescent="0.25">
      <c r="A43" s="2" t="s">
        <v>44</v>
      </c>
      <c r="B43" s="2" t="s">
        <v>44</v>
      </c>
      <c r="C43" s="3">
        <v>2.9</v>
      </c>
      <c r="D43" s="3">
        <v>9.6999999999999993</v>
      </c>
      <c r="E43" t="s">
        <v>73</v>
      </c>
      <c r="F43" s="14">
        <f t="shared" ref="F43:F58" si="3">D43/C43</f>
        <v>3.3448275862068964</v>
      </c>
    </row>
    <row r="44" spans="1:6" x14ac:dyDescent="0.25">
      <c r="A44" s="9" t="s">
        <v>45</v>
      </c>
      <c r="B44" s="12" t="s">
        <v>46</v>
      </c>
      <c r="C44" s="10">
        <v>6.4</v>
      </c>
      <c r="D44" s="10">
        <v>21.7</v>
      </c>
      <c r="E44" s="11"/>
      <c r="F44" s="14">
        <f t="shared" si="3"/>
        <v>3.3906249999999996</v>
      </c>
    </row>
    <row r="45" spans="1:6" x14ac:dyDescent="0.25">
      <c r="A45" s="2" t="s">
        <v>47</v>
      </c>
      <c r="B45" s="2" t="s">
        <v>47</v>
      </c>
      <c r="C45" s="3">
        <v>4.2</v>
      </c>
      <c r="D45" s="3">
        <v>14.2</v>
      </c>
      <c r="E45" t="s">
        <v>73</v>
      </c>
      <c r="F45" s="14">
        <f t="shared" si="3"/>
        <v>3.3809523809523805</v>
      </c>
    </row>
    <row r="46" spans="1:6" x14ac:dyDescent="0.25">
      <c r="A46" s="2" t="s">
        <v>48</v>
      </c>
      <c r="B46" s="2" t="s">
        <v>48</v>
      </c>
      <c r="C46" s="3">
        <v>3.6</v>
      </c>
      <c r="D46" s="3">
        <v>12.2</v>
      </c>
      <c r="E46" t="s">
        <v>73</v>
      </c>
      <c r="F46" s="14">
        <f t="shared" si="3"/>
        <v>3.3888888888888884</v>
      </c>
    </row>
    <row r="47" spans="1:6" x14ac:dyDescent="0.25">
      <c r="A47" s="2" t="s">
        <v>49</v>
      </c>
      <c r="B47" s="2" t="s">
        <v>49</v>
      </c>
      <c r="C47" s="3">
        <v>3</v>
      </c>
      <c r="D47" s="3">
        <v>10.199999999999999</v>
      </c>
      <c r="E47" t="s">
        <v>73</v>
      </c>
      <c r="F47" s="14">
        <f t="shared" si="3"/>
        <v>3.4</v>
      </c>
    </row>
    <row r="48" spans="1:6" x14ac:dyDescent="0.25">
      <c r="A48" s="2" t="s">
        <v>50</v>
      </c>
      <c r="B48" s="2" t="s">
        <v>50</v>
      </c>
      <c r="C48" s="3">
        <v>0.9</v>
      </c>
      <c r="D48" s="3">
        <v>2.9</v>
      </c>
      <c r="E48" t="s">
        <v>73</v>
      </c>
      <c r="F48" s="14">
        <f t="shared" si="3"/>
        <v>3.2222222222222219</v>
      </c>
    </row>
    <row r="49" spans="1:6" x14ac:dyDescent="0.25">
      <c r="A49" s="2" t="s">
        <v>51</v>
      </c>
      <c r="B49" s="2" t="s">
        <v>51</v>
      </c>
      <c r="C49" s="3">
        <v>1.2</v>
      </c>
      <c r="D49" s="3">
        <v>4.2</v>
      </c>
      <c r="E49" t="s">
        <v>73</v>
      </c>
      <c r="F49" s="14">
        <f t="shared" si="3"/>
        <v>3.5000000000000004</v>
      </c>
    </row>
    <row r="50" spans="1:6" ht="28.5" x14ac:dyDescent="0.25">
      <c r="A50" s="2" t="s">
        <v>52</v>
      </c>
      <c r="B50" s="2" t="s">
        <v>53</v>
      </c>
      <c r="C50" s="3">
        <v>1.7</v>
      </c>
      <c r="D50" s="3">
        <v>5.8</v>
      </c>
      <c r="E50" t="s">
        <v>73</v>
      </c>
      <c r="F50" s="14">
        <f t="shared" si="3"/>
        <v>3.4117647058823528</v>
      </c>
    </row>
    <row r="51" spans="1:6" x14ac:dyDescent="0.25">
      <c r="A51" s="2" t="s">
        <v>54</v>
      </c>
      <c r="B51" s="2" t="s">
        <v>54</v>
      </c>
      <c r="C51" s="3">
        <v>1.6</v>
      </c>
      <c r="D51" s="3">
        <v>5.4</v>
      </c>
      <c r="E51" t="s">
        <v>73</v>
      </c>
      <c r="F51" s="14">
        <f t="shared" si="3"/>
        <v>3.375</v>
      </c>
    </row>
    <row r="52" spans="1:6" x14ac:dyDescent="0.25">
      <c r="A52" s="2" t="s">
        <v>55</v>
      </c>
      <c r="B52" s="2" t="s">
        <v>55</v>
      </c>
      <c r="C52" s="3">
        <v>0.6</v>
      </c>
      <c r="D52" s="3">
        <v>2.1</v>
      </c>
      <c r="E52" t="s">
        <v>73</v>
      </c>
      <c r="F52" s="14">
        <f t="shared" si="3"/>
        <v>3.5000000000000004</v>
      </c>
    </row>
    <row r="53" spans="1:6" x14ac:dyDescent="0.25">
      <c r="A53" s="2" t="s">
        <v>56</v>
      </c>
      <c r="B53" s="2" t="s">
        <v>56</v>
      </c>
      <c r="C53" s="3">
        <v>0.2</v>
      </c>
      <c r="D53" s="3">
        <v>0.8</v>
      </c>
      <c r="E53" t="s">
        <v>73</v>
      </c>
      <c r="F53" s="14">
        <f t="shared" si="3"/>
        <v>4</v>
      </c>
    </row>
    <row r="54" spans="1:6" x14ac:dyDescent="0.25">
      <c r="A54" s="2" t="s">
        <v>57</v>
      </c>
      <c r="B54" s="2" t="s">
        <v>57</v>
      </c>
      <c r="C54" s="3">
        <v>0.4</v>
      </c>
      <c r="D54" s="3">
        <v>1.5</v>
      </c>
      <c r="E54" t="s">
        <v>73</v>
      </c>
      <c r="F54" s="14">
        <f t="shared" si="3"/>
        <v>3.75</v>
      </c>
    </row>
    <row r="55" spans="1:6" x14ac:dyDescent="0.25">
      <c r="A55" s="2" t="s">
        <v>58</v>
      </c>
      <c r="B55" s="2" t="s">
        <v>58</v>
      </c>
      <c r="C55" s="3">
        <v>1.2</v>
      </c>
      <c r="D55" s="3">
        <v>3.9</v>
      </c>
      <c r="E55" t="s">
        <v>73</v>
      </c>
      <c r="F55" s="14">
        <f t="shared" si="3"/>
        <v>3.25</v>
      </c>
    </row>
    <row r="56" spans="1:6" ht="28.5" x14ac:dyDescent="0.25">
      <c r="A56" s="2" t="s">
        <v>59</v>
      </c>
      <c r="B56" s="2" t="s">
        <v>60</v>
      </c>
      <c r="C56" s="3">
        <v>0.6</v>
      </c>
      <c r="D56" s="3">
        <v>2</v>
      </c>
      <c r="E56" t="s">
        <v>73</v>
      </c>
      <c r="F56" s="14">
        <f t="shared" si="3"/>
        <v>3.3333333333333335</v>
      </c>
    </row>
    <row r="57" spans="1:6" x14ac:dyDescent="0.25">
      <c r="A57" s="2" t="s">
        <v>61</v>
      </c>
      <c r="B57" s="2" t="s">
        <v>62</v>
      </c>
      <c r="C57" s="3">
        <v>0.5</v>
      </c>
      <c r="D57" s="3">
        <v>1.7</v>
      </c>
      <c r="E57" t="s">
        <v>73</v>
      </c>
      <c r="F57" s="14">
        <f t="shared" si="3"/>
        <v>3.4</v>
      </c>
    </row>
    <row r="58" spans="1:6" ht="28.5" x14ac:dyDescent="0.25">
      <c r="A58" s="2" t="s">
        <v>63</v>
      </c>
      <c r="B58" s="2" t="s">
        <v>64</v>
      </c>
      <c r="C58" s="3">
        <v>0.5</v>
      </c>
      <c r="D58" s="3">
        <v>1.7</v>
      </c>
      <c r="E58" t="s">
        <v>73</v>
      </c>
      <c r="F58" s="14">
        <f t="shared" si="3"/>
        <v>3.4</v>
      </c>
    </row>
    <row r="59" spans="1:6" x14ac:dyDescent="0.25">
      <c r="A59" s="2"/>
      <c r="B59" s="2"/>
      <c r="C59" s="4">
        <f>SUM(C43:C58)</f>
        <v>29.5</v>
      </c>
      <c r="D59" s="13">
        <f>SUM(D43:D58)-D44</f>
        <v>78.300000000000011</v>
      </c>
    </row>
    <row r="60" spans="1:6" x14ac:dyDescent="0.25">
      <c r="A60" s="2"/>
      <c r="B60" s="2"/>
      <c r="C60" s="3"/>
      <c r="D60" s="3"/>
    </row>
    <row r="61" spans="1:6" x14ac:dyDescent="0.25">
      <c r="A61" s="2"/>
      <c r="B61" s="2"/>
      <c r="C61" s="3"/>
      <c r="D61" s="3"/>
    </row>
    <row r="62" spans="1:6" x14ac:dyDescent="0.25">
      <c r="A62" s="2"/>
      <c r="B62" s="2"/>
      <c r="C62" s="3"/>
      <c r="D62" s="3"/>
    </row>
    <row r="63" spans="1:6" x14ac:dyDescent="0.25">
      <c r="A63" s="90" t="s">
        <v>65</v>
      </c>
      <c r="B63" s="90"/>
      <c r="C63" s="90"/>
      <c r="D63" s="90"/>
    </row>
    <row r="64" spans="1:6" x14ac:dyDescent="0.25">
      <c r="A64" s="1" t="s">
        <v>1</v>
      </c>
      <c r="B64" s="1" t="s">
        <v>2</v>
      </c>
      <c r="C64" s="1" t="s">
        <v>3</v>
      </c>
      <c r="D64" s="1" t="s">
        <v>4</v>
      </c>
    </row>
    <row r="65" spans="1:6" x14ac:dyDescent="0.25">
      <c r="A65" s="2" t="s">
        <v>66</v>
      </c>
      <c r="B65" s="2" t="s">
        <v>66</v>
      </c>
      <c r="C65" s="3">
        <v>1.2</v>
      </c>
      <c r="D65" s="3">
        <v>14.4</v>
      </c>
      <c r="E65" t="s">
        <v>73</v>
      </c>
      <c r="F65" s="14">
        <f t="shared" ref="F65:F68" si="4">D65/C65</f>
        <v>12</v>
      </c>
    </row>
    <row r="66" spans="1:6" x14ac:dyDescent="0.25">
      <c r="A66" s="2" t="s">
        <v>67</v>
      </c>
      <c r="B66" s="2" t="s">
        <v>67</v>
      </c>
      <c r="C66" s="3">
        <v>5.8</v>
      </c>
      <c r="D66" s="3">
        <v>73.099999999999994</v>
      </c>
      <c r="E66" t="s">
        <v>73</v>
      </c>
      <c r="F66" s="14">
        <f t="shared" si="4"/>
        <v>12.603448275862068</v>
      </c>
    </row>
    <row r="67" spans="1:6" x14ac:dyDescent="0.25">
      <c r="A67" s="2" t="s">
        <v>68</v>
      </c>
      <c r="B67" s="2" t="s">
        <v>68</v>
      </c>
      <c r="C67" s="3">
        <v>1</v>
      </c>
      <c r="D67" s="3">
        <v>12.5</v>
      </c>
      <c r="E67" t="s">
        <v>73</v>
      </c>
      <c r="F67" s="14">
        <f t="shared" si="4"/>
        <v>12.5</v>
      </c>
    </row>
    <row r="68" spans="1:6" ht="28.5" x14ac:dyDescent="0.25">
      <c r="A68" s="2" t="s">
        <v>69</v>
      </c>
      <c r="B68" s="6" t="s">
        <v>70</v>
      </c>
      <c r="C68" s="3">
        <v>2.2999999999999998</v>
      </c>
      <c r="D68" s="3">
        <v>6.1</v>
      </c>
      <c r="E68" t="s">
        <v>73</v>
      </c>
      <c r="F68" s="14">
        <f t="shared" si="4"/>
        <v>2.6521739130434785</v>
      </c>
    </row>
    <row r="69" spans="1:6" x14ac:dyDescent="0.25">
      <c r="C69" s="5">
        <f>SUM(C65:C68)</f>
        <v>10.3</v>
      </c>
      <c r="D69" s="7">
        <f>SUM(D65:D68)</f>
        <v>106.1</v>
      </c>
    </row>
  </sheetData>
  <mergeCells count="5">
    <mergeCell ref="A1:D1"/>
    <mergeCell ref="A13:D13"/>
    <mergeCell ref="A27:D27"/>
    <mergeCell ref="A41:D41"/>
    <mergeCell ref="A63:D6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B44A-7487-4DA4-8F40-C9F710316006}">
  <dimension ref="A1:O75"/>
  <sheetViews>
    <sheetView zoomScale="85" zoomScaleNormal="85" workbookViewId="0">
      <pane xSplit="1" topLeftCell="B1" activePane="topRight" state="frozen"/>
      <selection pane="topRight" activeCell="C35" sqref="C35"/>
    </sheetView>
  </sheetViews>
  <sheetFormatPr defaultColWidth="8.85546875" defaultRowHeight="15" x14ac:dyDescent="0.25"/>
  <cols>
    <col min="1" max="1" width="53.7109375" bestFit="1" customWidth="1"/>
    <col min="2" max="2" width="41.85546875" bestFit="1" customWidth="1"/>
    <col min="3" max="3" width="7.28515625" bestFit="1" customWidth="1"/>
    <col min="4" max="4" width="14.28515625" bestFit="1" customWidth="1"/>
    <col min="5" max="5" width="76.28515625" bestFit="1" customWidth="1"/>
    <col min="6" max="6" width="18.85546875" bestFit="1" customWidth="1"/>
    <col min="7" max="7" width="17.7109375" customWidth="1"/>
    <col min="8" max="8" width="12.28515625" bestFit="1" customWidth="1"/>
    <col min="9" max="9" width="12.42578125" bestFit="1" customWidth="1"/>
    <col min="10" max="10" width="19" bestFit="1" customWidth="1"/>
    <col min="11" max="11" width="13.7109375" bestFit="1" customWidth="1"/>
    <col min="12" max="12" width="54.42578125" bestFit="1" customWidth="1"/>
    <col min="13" max="13" width="13.7109375" style="52" customWidth="1"/>
  </cols>
  <sheetData>
    <row r="1" spans="1:13" x14ac:dyDescent="0.25">
      <c r="J1" s="27" t="s">
        <v>87</v>
      </c>
      <c r="K1" s="27"/>
      <c r="L1" s="27" t="s">
        <v>88</v>
      </c>
      <c r="M1" s="52" t="s">
        <v>91</v>
      </c>
    </row>
    <row r="3" spans="1:13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  <c r="M3" s="53"/>
    </row>
    <row r="4" spans="1:13" x14ac:dyDescent="0.25">
      <c r="A4" s="18" t="s">
        <v>75</v>
      </c>
      <c r="B4" s="27" t="s">
        <v>2</v>
      </c>
      <c r="C4" s="5" t="s">
        <v>76</v>
      </c>
      <c r="D4" s="5" t="s">
        <v>77</v>
      </c>
      <c r="E4" s="5" t="s">
        <v>100</v>
      </c>
      <c r="G4" t="s">
        <v>89</v>
      </c>
      <c r="H4" t="s">
        <v>83</v>
      </c>
      <c r="I4" t="s">
        <v>84</v>
      </c>
      <c r="J4" t="s">
        <v>86</v>
      </c>
      <c r="K4" t="s">
        <v>85</v>
      </c>
      <c r="L4" s="25" t="s">
        <v>92</v>
      </c>
      <c r="M4" s="54"/>
    </row>
    <row r="5" spans="1:13" x14ac:dyDescent="0.25">
      <c r="A5" s="19" t="s">
        <v>5</v>
      </c>
      <c r="B5" t="s">
        <v>6</v>
      </c>
      <c r="C5" s="32">
        <v>3.9000001000000002</v>
      </c>
      <c r="D5" s="32">
        <f>C5/SUM(C$5:C$10)*100</f>
        <v>30.468750971679697</v>
      </c>
      <c r="E5" s="32"/>
      <c r="F5" s="8" t="s">
        <v>72</v>
      </c>
      <c r="G5" s="14">
        <f>D5/C5</f>
        <v>7.8125000488281255</v>
      </c>
      <c r="H5">
        <v>23</v>
      </c>
      <c r="I5" s="29">
        <v>1.1120000000000001</v>
      </c>
      <c r="J5" s="37">
        <f>$J$11</f>
        <v>3.0748603073886578</v>
      </c>
      <c r="K5" s="37">
        <f>D5/100*J5</f>
        <v>0.93687152978527499</v>
      </c>
      <c r="L5" s="42">
        <f t="shared" ref="L5:L10" si="0">D5/100*J5/I5</f>
        <v>0.84251036851193783</v>
      </c>
      <c r="M5" s="54" t="s">
        <v>101</v>
      </c>
    </row>
    <row r="6" spans="1:13" x14ac:dyDescent="0.25">
      <c r="A6" s="19" t="s">
        <v>7</v>
      </c>
      <c r="B6" t="s">
        <v>8</v>
      </c>
      <c r="C6" s="32">
        <v>2.0999998999999998</v>
      </c>
      <c r="D6" s="32">
        <f t="shared" ref="D6:D10" si="1">C6/SUM(C$5:C$10)*100</f>
        <v>16.406249321289057</v>
      </c>
      <c r="E6" s="32"/>
      <c r="F6" t="s">
        <v>99</v>
      </c>
      <c r="G6" s="14">
        <f t="shared" ref="G6:G60" si="2">D6/C6</f>
        <v>7.8125000488281255</v>
      </c>
      <c r="H6">
        <v>25</v>
      </c>
      <c r="I6" s="34">
        <v>1.05</v>
      </c>
      <c r="J6" s="37">
        <f t="shared" ref="J6:J10" si="3">$J$11</f>
        <v>3.0748603073886578</v>
      </c>
      <c r="K6" s="37">
        <f t="shared" ref="K6:K10" si="4">D6/100*J6</f>
        <v>0.50446924831153828</v>
      </c>
      <c r="L6" s="50">
        <f t="shared" si="0"/>
        <v>0.48044690315384597</v>
      </c>
      <c r="M6" s="54" t="s">
        <v>102</v>
      </c>
    </row>
    <row r="7" spans="1:13" x14ac:dyDescent="0.25">
      <c r="A7" s="19" t="s">
        <v>9</v>
      </c>
      <c r="B7" t="s">
        <v>9</v>
      </c>
      <c r="C7" s="32">
        <v>1.8</v>
      </c>
      <c r="D7" s="32">
        <f t="shared" si="1"/>
        <v>14.062500087890625</v>
      </c>
      <c r="E7" s="32"/>
      <c r="F7" s="8" t="s">
        <v>72</v>
      </c>
      <c r="G7" s="14">
        <f t="shared" si="2"/>
        <v>7.8125000488281247</v>
      </c>
      <c r="H7">
        <v>430</v>
      </c>
      <c r="I7" s="29">
        <v>1</v>
      </c>
      <c r="J7" s="37">
        <f t="shared" si="3"/>
        <v>3.0748603073886578</v>
      </c>
      <c r="K7" s="37">
        <f t="shared" si="4"/>
        <v>0.43240223342904394</v>
      </c>
      <c r="L7" s="42">
        <f t="shared" si="0"/>
        <v>0.43240223342904394</v>
      </c>
      <c r="M7" s="54" t="s">
        <v>103</v>
      </c>
    </row>
    <row r="8" spans="1:13" x14ac:dyDescent="0.25">
      <c r="A8" s="19" t="s">
        <v>78</v>
      </c>
      <c r="B8" t="s">
        <v>11</v>
      </c>
      <c r="C8" s="32">
        <v>1.8</v>
      </c>
      <c r="D8" s="32">
        <f t="shared" si="1"/>
        <v>14.062500087890625</v>
      </c>
      <c r="E8" s="32"/>
      <c r="F8" t="s">
        <v>73</v>
      </c>
      <c r="G8" s="14">
        <f t="shared" si="2"/>
        <v>7.8125000488281247</v>
      </c>
      <c r="I8">
        <v>1.0920000000000001</v>
      </c>
      <c r="J8" s="37">
        <f t="shared" si="3"/>
        <v>3.0748603073886578</v>
      </c>
      <c r="K8" s="37">
        <f t="shared" si="4"/>
        <v>0.43240223342904394</v>
      </c>
      <c r="L8" s="30">
        <f t="shared" si="0"/>
        <v>0.39597274123538817</v>
      </c>
      <c r="M8" s="54" t="s">
        <v>102</v>
      </c>
    </row>
    <row r="9" spans="1:13" x14ac:dyDescent="0.25">
      <c r="A9" s="19" t="s">
        <v>12</v>
      </c>
      <c r="B9" t="s">
        <v>12</v>
      </c>
      <c r="C9" s="32">
        <v>2.6999999199999998</v>
      </c>
      <c r="D9" s="32">
        <f t="shared" si="1"/>
        <v>21.093749506835934</v>
      </c>
      <c r="E9" s="32"/>
      <c r="F9" s="8" t="s">
        <v>72</v>
      </c>
      <c r="G9" s="14">
        <f t="shared" si="2"/>
        <v>7.8125000488281255</v>
      </c>
      <c r="H9">
        <v>84</v>
      </c>
      <c r="I9" s="29">
        <v>1</v>
      </c>
      <c r="J9" s="37">
        <f t="shared" si="3"/>
        <v>3.0748603073886578</v>
      </c>
      <c r="K9" s="37">
        <f t="shared" si="4"/>
        <v>0.64860333092568889</v>
      </c>
      <c r="L9" s="42">
        <f t="shared" si="0"/>
        <v>0.64860333092568889</v>
      </c>
      <c r="M9" s="54" t="s">
        <v>104</v>
      </c>
    </row>
    <row r="10" spans="1:13" x14ac:dyDescent="0.25">
      <c r="A10" s="20" t="s">
        <v>13</v>
      </c>
      <c r="B10" s="57" t="s">
        <v>97</v>
      </c>
      <c r="C10" s="28">
        <v>0.5</v>
      </c>
      <c r="D10" s="28">
        <f t="shared" si="1"/>
        <v>3.9062500244140632</v>
      </c>
      <c r="E10" s="28" t="s">
        <v>125</v>
      </c>
      <c r="F10" s="21" t="s">
        <v>126</v>
      </c>
      <c r="G10" s="43">
        <f t="shared" si="2"/>
        <v>7.8125000488281264</v>
      </c>
      <c r="H10" s="21"/>
      <c r="I10" s="21">
        <v>1.07</v>
      </c>
      <c r="J10" s="58">
        <f t="shared" si="3"/>
        <v>3.0748603073886578</v>
      </c>
      <c r="K10" s="37">
        <f t="shared" si="4"/>
        <v>0.12011173150806778</v>
      </c>
      <c r="L10" s="33">
        <f t="shared" si="0"/>
        <v>0.11225395468043717</v>
      </c>
      <c r="M10" s="55" t="s">
        <v>105</v>
      </c>
    </row>
    <row r="11" spans="1:13" x14ac:dyDescent="0.25">
      <c r="C11" s="31">
        <f>SUM(C5:C10)</f>
        <v>12.799999919999999</v>
      </c>
      <c r="D11" s="31">
        <f>SUM(D5:D10)</f>
        <v>100</v>
      </c>
      <c r="E11" s="31"/>
      <c r="J11" s="59">
        <f>J23*C73/C74</f>
        <v>3.0748603073886578</v>
      </c>
      <c r="L11" s="40">
        <f>SUM(L5:L10)</f>
        <v>2.9121895319363422</v>
      </c>
    </row>
    <row r="12" spans="1:13" x14ac:dyDescent="0.25">
      <c r="C12" s="39"/>
      <c r="D12" s="31"/>
      <c r="E12" s="31"/>
      <c r="J12" s="34"/>
      <c r="L12" s="27"/>
    </row>
    <row r="13" spans="1:13" x14ac:dyDescent="0.25">
      <c r="A13" s="15" t="s">
        <v>15</v>
      </c>
      <c r="B13" s="16"/>
      <c r="C13" s="22"/>
      <c r="D13" s="22"/>
      <c r="E13" s="22"/>
      <c r="F13" s="16"/>
      <c r="G13" s="16"/>
      <c r="H13" s="16"/>
      <c r="I13" s="16"/>
      <c r="J13" s="35"/>
      <c r="K13" s="16"/>
      <c r="L13" s="17"/>
      <c r="M13" s="53"/>
    </row>
    <row r="14" spans="1:13" x14ac:dyDescent="0.25">
      <c r="A14" s="18" t="s">
        <v>75</v>
      </c>
      <c r="B14" s="27" t="s">
        <v>2</v>
      </c>
      <c r="C14" s="31" t="s">
        <v>76</v>
      </c>
      <c r="D14" s="31" t="s">
        <v>77</v>
      </c>
      <c r="E14" s="31" t="s">
        <v>100</v>
      </c>
      <c r="H14" t="s">
        <v>83</v>
      </c>
      <c r="I14" t="s">
        <v>84</v>
      </c>
      <c r="J14" t="s">
        <v>86</v>
      </c>
      <c r="K14" t="s">
        <v>85</v>
      </c>
      <c r="L14" s="25" t="s">
        <v>92</v>
      </c>
      <c r="M14" s="54"/>
    </row>
    <row r="15" spans="1:13" x14ac:dyDescent="0.25">
      <c r="A15" s="19" t="s">
        <v>16</v>
      </c>
      <c r="B15" t="s">
        <v>17</v>
      </c>
      <c r="C15" s="32">
        <v>2.9000001000000002</v>
      </c>
      <c r="D15" s="32">
        <f>C15/SUM(C$15:C$22)*100</f>
        <v>16.201117831840456</v>
      </c>
      <c r="E15" s="32"/>
      <c r="F15" t="s">
        <v>73</v>
      </c>
      <c r="G15" s="14">
        <f t="shared" si="2"/>
        <v>5.5865921631659443</v>
      </c>
      <c r="I15">
        <v>1.1599999999999999</v>
      </c>
      <c r="J15" s="34">
        <f>$J$23</f>
        <v>4.3</v>
      </c>
      <c r="K15" s="38">
        <f t="shared" ref="K15:K19" si="5">D15/100*J15</f>
        <v>0.6966480667691396</v>
      </c>
      <c r="L15" s="30">
        <f>D15/100*J15/I15</f>
        <v>0.60055867824925835</v>
      </c>
      <c r="M15" s="54" t="s">
        <v>106</v>
      </c>
    </row>
    <row r="16" spans="1:13" x14ac:dyDescent="0.25">
      <c r="A16" s="19" t="s">
        <v>18</v>
      </c>
      <c r="B16" t="s">
        <v>18</v>
      </c>
      <c r="C16" s="32">
        <v>1.8</v>
      </c>
      <c r="D16" s="32">
        <f t="shared" ref="D16:D22" si="6">C16/SUM(C$15:C$22)*100</f>
        <v>10.0558658936987</v>
      </c>
      <c r="E16" s="32"/>
      <c r="F16" t="s">
        <v>73</v>
      </c>
      <c r="G16" s="14">
        <f t="shared" si="2"/>
        <v>5.5865921631659443</v>
      </c>
      <c r="I16">
        <v>1.1100000000000001</v>
      </c>
      <c r="J16" s="34">
        <f t="shared" ref="J16:J21" si="7">$J$23</f>
        <v>4.3</v>
      </c>
      <c r="K16" s="38">
        <f t="shared" si="5"/>
        <v>0.43240223342904405</v>
      </c>
      <c r="L16" s="30">
        <f t="shared" ref="L16:L22" si="8">D16/100*J16/I16</f>
        <v>0.38955156164778737</v>
      </c>
      <c r="M16" s="54" t="s">
        <v>105</v>
      </c>
    </row>
    <row r="17" spans="1:13" x14ac:dyDescent="0.25">
      <c r="A17" s="19" t="s">
        <v>19</v>
      </c>
      <c r="B17" t="s">
        <v>20</v>
      </c>
      <c r="C17" s="32">
        <v>1.7</v>
      </c>
      <c r="D17" s="32">
        <f t="shared" si="6"/>
        <v>9.4972066773821044</v>
      </c>
      <c r="E17" s="32"/>
      <c r="F17" t="s">
        <v>73</v>
      </c>
      <c r="G17" s="14">
        <f t="shared" si="2"/>
        <v>5.5865921631659443</v>
      </c>
      <c r="I17">
        <v>1.1299999999999999</v>
      </c>
      <c r="J17" s="34">
        <f t="shared" si="7"/>
        <v>4.3</v>
      </c>
      <c r="K17" s="38">
        <f t="shared" si="5"/>
        <v>0.40837988712743045</v>
      </c>
      <c r="L17" s="30">
        <f t="shared" si="8"/>
        <v>0.36139813020126593</v>
      </c>
      <c r="M17" s="54" t="s">
        <v>106</v>
      </c>
    </row>
    <row r="18" spans="1:13" x14ac:dyDescent="0.25">
      <c r="A18" s="19" t="s">
        <v>21</v>
      </c>
      <c r="B18" t="s">
        <v>80</v>
      </c>
      <c r="C18" s="32">
        <v>3.4999999600000002</v>
      </c>
      <c r="D18" s="32">
        <f t="shared" si="6"/>
        <v>19.553072347617118</v>
      </c>
      <c r="E18" s="32" t="s">
        <v>124</v>
      </c>
      <c r="F18" t="s">
        <v>73</v>
      </c>
      <c r="G18" s="14">
        <f t="shared" si="2"/>
        <v>5.5865921631659434</v>
      </c>
      <c r="I18">
        <v>1.2090000000000001</v>
      </c>
      <c r="J18" s="34">
        <f t="shared" si="7"/>
        <v>4.3</v>
      </c>
      <c r="K18" s="38">
        <f t="shared" si="5"/>
        <v>0.84078211094753597</v>
      </c>
      <c r="L18" s="30">
        <f t="shared" si="8"/>
        <v>0.69543598920391725</v>
      </c>
      <c r="M18" s="56" t="s">
        <v>107</v>
      </c>
    </row>
    <row r="19" spans="1:13" x14ac:dyDescent="0.25">
      <c r="A19" s="19" t="s">
        <v>22</v>
      </c>
      <c r="B19" t="s">
        <v>22</v>
      </c>
      <c r="C19" s="32">
        <v>2.6</v>
      </c>
      <c r="D19" s="32">
        <f t="shared" si="6"/>
        <v>14.525139624231453</v>
      </c>
      <c r="E19" s="32"/>
      <c r="F19" t="s">
        <v>73</v>
      </c>
      <c r="G19" s="14">
        <f t="shared" si="2"/>
        <v>5.5865921631659434</v>
      </c>
      <c r="I19">
        <v>0.94</v>
      </c>
      <c r="J19" s="34">
        <f t="shared" si="7"/>
        <v>4.3</v>
      </c>
      <c r="K19" s="38">
        <f t="shared" si="5"/>
        <v>0.62458100384195248</v>
      </c>
      <c r="L19" s="30">
        <f t="shared" si="8"/>
        <v>0.66444787642760905</v>
      </c>
      <c r="M19" s="54" t="s">
        <v>108</v>
      </c>
    </row>
    <row r="20" spans="1:13" x14ac:dyDescent="0.25">
      <c r="A20" s="19" t="s">
        <v>23</v>
      </c>
      <c r="B20" t="s">
        <v>23</v>
      </c>
      <c r="C20" s="32">
        <v>2.7999999899999999</v>
      </c>
      <c r="D20" s="32">
        <f t="shared" si="6"/>
        <v>15.642458000998721</v>
      </c>
      <c r="E20" s="32"/>
      <c r="F20" s="8" t="s">
        <v>72</v>
      </c>
      <c r="G20" s="14">
        <f t="shared" si="2"/>
        <v>5.5865921631659443</v>
      </c>
      <c r="H20">
        <v>10</v>
      </c>
      <c r="I20" s="29">
        <v>1</v>
      </c>
      <c r="J20" s="34">
        <f t="shared" si="7"/>
        <v>4.3</v>
      </c>
      <c r="K20" s="38">
        <f>D20/100*J20</f>
        <v>0.67262569404294503</v>
      </c>
      <c r="L20" s="42">
        <f t="shared" si="8"/>
        <v>0.67262569404294503</v>
      </c>
      <c r="M20" s="54" t="s">
        <v>105</v>
      </c>
    </row>
    <row r="21" spans="1:13" x14ac:dyDescent="0.25">
      <c r="A21" s="19" t="s">
        <v>24</v>
      </c>
      <c r="B21" t="s">
        <v>25</v>
      </c>
      <c r="C21" s="32">
        <v>1.6</v>
      </c>
      <c r="D21" s="32">
        <f t="shared" si="6"/>
        <v>8.9385474610655109</v>
      </c>
      <c r="E21" s="32"/>
      <c r="F21" t="s">
        <v>73</v>
      </c>
      <c r="G21" s="14">
        <f t="shared" si="2"/>
        <v>5.5865921631659443</v>
      </c>
      <c r="I21">
        <v>0.91</v>
      </c>
      <c r="J21" s="34">
        <f t="shared" si="7"/>
        <v>4.3</v>
      </c>
      <c r="K21" s="38">
        <f t="shared" ref="K21:K22" si="9">D21/100*J21</f>
        <v>0.38435754082581691</v>
      </c>
      <c r="L21" s="30">
        <f t="shared" si="8"/>
        <v>0.42237092398441417</v>
      </c>
      <c r="M21" s="54" t="s">
        <v>106</v>
      </c>
    </row>
    <row r="22" spans="1:13" x14ac:dyDescent="0.25">
      <c r="A22" s="20" t="s">
        <v>79</v>
      </c>
      <c r="B22" s="21" t="s">
        <v>27</v>
      </c>
      <c r="C22" s="28">
        <v>1</v>
      </c>
      <c r="D22" s="28">
        <f t="shared" si="6"/>
        <v>5.5865921631659443</v>
      </c>
      <c r="E22" s="28"/>
      <c r="F22" s="21" t="s">
        <v>73</v>
      </c>
      <c r="G22" s="43">
        <f t="shared" si="2"/>
        <v>5.5865921631659443</v>
      </c>
      <c r="H22" s="21"/>
      <c r="I22" s="21">
        <v>0.90500000000000003</v>
      </c>
      <c r="J22" s="36">
        <f>$J$23</f>
        <v>4.3</v>
      </c>
      <c r="K22" s="38">
        <f t="shared" si="9"/>
        <v>0.24022346301613562</v>
      </c>
      <c r="L22" s="33">
        <f t="shared" si="8"/>
        <v>0.26544029062556423</v>
      </c>
      <c r="M22" s="55" t="s">
        <v>109</v>
      </c>
    </row>
    <row r="23" spans="1:13" x14ac:dyDescent="0.25">
      <c r="C23" s="31">
        <f>SUM(C15:C22)</f>
        <v>17.900000049999999</v>
      </c>
      <c r="D23" s="31">
        <f>SUM(D15:D22)</f>
        <v>100</v>
      </c>
      <c r="E23" s="31"/>
      <c r="J23" s="60">
        <v>4.3</v>
      </c>
      <c r="L23" s="40">
        <f>SUM(L15:L22)</f>
        <v>4.071829144382761</v>
      </c>
    </row>
    <row r="24" spans="1:13" x14ac:dyDescent="0.25">
      <c r="C24" s="39"/>
      <c r="D24" s="31"/>
      <c r="E24" s="31"/>
      <c r="J24" s="34"/>
      <c r="L24" s="40">
        <f>L23+L11</f>
        <v>6.9840186763191028</v>
      </c>
    </row>
    <row r="25" spans="1:13" x14ac:dyDescent="0.25">
      <c r="A25" s="15" t="s">
        <v>28</v>
      </c>
      <c r="B25" s="16"/>
      <c r="C25" s="22"/>
      <c r="D25" s="22"/>
      <c r="E25" s="22"/>
      <c r="F25" s="16"/>
      <c r="G25" s="16"/>
      <c r="H25" s="16"/>
      <c r="I25" s="16"/>
      <c r="J25" s="35"/>
      <c r="K25" s="16"/>
      <c r="L25" s="17"/>
      <c r="M25" s="53"/>
    </row>
    <row r="26" spans="1:13" x14ac:dyDescent="0.25">
      <c r="A26" s="18" t="s">
        <v>75</v>
      </c>
      <c r="B26" s="27" t="s">
        <v>2</v>
      </c>
      <c r="C26" s="31" t="s">
        <v>76</v>
      </c>
      <c r="D26" s="31" t="s">
        <v>77</v>
      </c>
      <c r="E26" s="31" t="s">
        <v>100</v>
      </c>
      <c r="H26" t="s">
        <v>83</v>
      </c>
      <c r="I26" t="s">
        <v>84</v>
      </c>
      <c r="J26" t="s">
        <v>86</v>
      </c>
      <c r="K26" t="s">
        <v>85</v>
      </c>
      <c r="L26" s="25" t="s">
        <v>92</v>
      </c>
      <c r="M26" s="54"/>
    </row>
    <row r="27" spans="1:13" x14ac:dyDescent="0.25">
      <c r="A27" s="19" t="s">
        <v>29</v>
      </c>
      <c r="B27" s="34" t="s">
        <v>96</v>
      </c>
      <c r="C27" s="32">
        <v>4.4000000999999997</v>
      </c>
      <c r="D27" s="32">
        <f t="shared" ref="D27:D34" si="10">C27/SUM(C$27:C$34)*100</f>
        <v>49.410444028157961</v>
      </c>
      <c r="E27" s="32" t="s">
        <v>121</v>
      </c>
      <c r="F27" t="s">
        <v>73</v>
      </c>
      <c r="G27" s="14">
        <f t="shared" si="2"/>
        <v>11.229646114816671</v>
      </c>
      <c r="I27">
        <v>0.85799999999999998</v>
      </c>
      <c r="J27" s="34">
        <f>$J$35</f>
        <v>6</v>
      </c>
      <c r="K27" s="38">
        <f t="shared" ref="K27:K34" si="11">D27/100*J27</f>
        <v>2.9646266416894775</v>
      </c>
      <c r="L27" s="30">
        <f>D27/100*J27/I27</f>
        <v>3.4552758061648925</v>
      </c>
      <c r="M27" s="54" t="s">
        <v>122</v>
      </c>
    </row>
    <row r="28" spans="1:13" x14ac:dyDescent="0.25">
      <c r="A28" s="19" t="s">
        <v>31</v>
      </c>
      <c r="B28" t="s">
        <v>32</v>
      </c>
      <c r="C28" s="32">
        <v>1.3</v>
      </c>
      <c r="D28" s="32">
        <f t="shared" si="10"/>
        <v>14.598539949261674</v>
      </c>
      <c r="E28" s="32"/>
      <c r="F28" t="s">
        <v>73</v>
      </c>
      <c r="G28" s="14">
        <f t="shared" si="2"/>
        <v>11.229646114816672</v>
      </c>
      <c r="I28">
        <v>0.876</v>
      </c>
      <c r="J28" s="34">
        <f t="shared" ref="J28:J34" si="12">$J$35</f>
        <v>6</v>
      </c>
      <c r="K28" s="38">
        <f t="shared" si="11"/>
        <v>0.87591239695570045</v>
      </c>
      <c r="L28" s="30">
        <f t="shared" ref="L28:L34" si="13">D28/100*J28/I28</f>
        <v>0.99989999652477224</v>
      </c>
      <c r="M28" s="54" t="s">
        <v>110</v>
      </c>
    </row>
    <row r="29" spans="1:13" x14ac:dyDescent="0.25">
      <c r="A29" s="19" t="s">
        <v>33</v>
      </c>
      <c r="B29" t="s">
        <v>33</v>
      </c>
      <c r="C29" s="32">
        <v>1.4000000100000001</v>
      </c>
      <c r="D29" s="32">
        <f t="shared" si="10"/>
        <v>15.721504673039801</v>
      </c>
      <c r="E29" s="32"/>
      <c r="F29" t="s">
        <v>73</v>
      </c>
      <c r="G29" s="14">
        <f t="shared" si="2"/>
        <v>11.229646114816671</v>
      </c>
      <c r="I29">
        <v>0.86699999999999999</v>
      </c>
      <c r="J29" s="34">
        <f t="shared" si="12"/>
        <v>6</v>
      </c>
      <c r="K29" s="38">
        <f t="shared" si="11"/>
        <v>0.94329028038238816</v>
      </c>
      <c r="L29" s="30">
        <f>D29/100*J29/I29</f>
        <v>1.087993402978533</v>
      </c>
      <c r="M29" s="54" t="s">
        <v>111</v>
      </c>
    </row>
    <row r="30" spans="1:13" x14ac:dyDescent="0.25">
      <c r="A30" s="19" t="s">
        <v>34</v>
      </c>
      <c r="B30" t="s">
        <v>34</v>
      </c>
      <c r="C30" s="32">
        <v>0.80000000999999998</v>
      </c>
      <c r="D30" s="32">
        <f t="shared" si="10"/>
        <v>8.9837170041497973</v>
      </c>
      <c r="E30" s="32"/>
      <c r="F30" t="s">
        <v>73</v>
      </c>
      <c r="G30" s="14">
        <f t="shared" si="2"/>
        <v>11.229646114816671</v>
      </c>
      <c r="I30">
        <v>0.68100000000000005</v>
      </c>
      <c r="J30" s="34">
        <f t="shared" si="12"/>
        <v>6</v>
      </c>
      <c r="K30" s="38">
        <f t="shared" si="11"/>
        <v>0.53902302024898785</v>
      </c>
      <c r="L30" s="30">
        <f t="shared" si="13"/>
        <v>0.79151691666518031</v>
      </c>
      <c r="M30" s="54" t="s">
        <v>113</v>
      </c>
    </row>
    <row r="31" spans="1:13" x14ac:dyDescent="0.25">
      <c r="A31" s="19" t="s">
        <v>35</v>
      </c>
      <c r="B31" t="s">
        <v>35</v>
      </c>
      <c r="C31" s="32">
        <v>0.05</v>
      </c>
      <c r="D31" s="32">
        <f t="shared" si="10"/>
        <v>0.56148230574083369</v>
      </c>
      <c r="E31" s="32"/>
      <c r="F31" t="s">
        <v>73</v>
      </c>
      <c r="G31" s="14">
        <f t="shared" si="2"/>
        <v>11.229646114816672</v>
      </c>
      <c r="I31">
        <v>0.87</v>
      </c>
      <c r="J31" s="34">
        <f t="shared" si="12"/>
        <v>6</v>
      </c>
      <c r="K31" s="38">
        <f t="shared" si="11"/>
        <v>3.3688938344450019E-2</v>
      </c>
      <c r="L31" s="30">
        <f t="shared" si="13"/>
        <v>3.8722917637298869E-2</v>
      </c>
      <c r="M31" s="54" t="s">
        <v>112</v>
      </c>
    </row>
    <row r="32" spans="1:13" x14ac:dyDescent="0.25">
      <c r="A32" s="19" t="s">
        <v>37</v>
      </c>
      <c r="B32" t="s">
        <v>38</v>
      </c>
      <c r="C32" s="32">
        <v>0.34</v>
      </c>
      <c r="D32" s="32">
        <f t="shared" si="10"/>
        <v>3.8180796790376683</v>
      </c>
      <c r="E32" s="32"/>
      <c r="F32" t="s">
        <v>73</v>
      </c>
      <c r="G32" s="14">
        <f t="shared" si="2"/>
        <v>11.229646114816671</v>
      </c>
      <c r="I32">
        <v>0.86799999999999999</v>
      </c>
      <c r="J32" s="34">
        <f t="shared" si="12"/>
        <v>6</v>
      </c>
      <c r="K32" s="38">
        <f t="shared" si="11"/>
        <v>0.2290847807422601</v>
      </c>
      <c r="L32" s="30">
        <f t="shared" si="13"/>
        <v>0.26392255845882501</v>
      </c>
      <c r="M32" s="54" t="s">
        <v>110</v>
      </c>
    </row>
    <row r="33" spans="1:15" x14ac:dyDescent="0.25">
      <c r="A33" s="19" t="s">
        <v>39</v>
      </c>
      <c r="B33" t="s">
        <v>40</v>
      </c>
      <c r="C33" s="32">
        <v>0.115</v>
      </c>
      <c r="D33" s="32">
        <f t="shared" si="10"/>
        <v>1.2914093032039173</v>
      </c>
      <c r="E33" s="32"/>
      <c r="F33" t="s">
        <v>73</v>
      </c>
      <c r="G33" s="14">
        <f t="shared" si="2"/>
        <v>11.229646114816672</v>
      </c>
      <c r="I33">
        <v>0.88</v>
      </c>
      <c r="J33" s="34">
        <f t="shared" si="12"/>
        <v>6</v>
      </c>
      <c r="K33" s="38">
        <f t="shared" si="11"/>
        <v>7.7484558192235042E-2</v>
      </c>
      <c r="L33" s="30">
        <f t="shared" si="13"/>
        <v>8.8050634309358E-2</v>
      </c>
      <c r="M33" s="54" t="s">
        <v>110</v>
      </c>
      <c r="O33">
        <f>0.28879/(0.28879+5.72186)</f>
        <v>4.8046384334472975E-2</v>
      </c>
    </row>
    <row r="34" spans="1:15" x14ac:dyDescent="0.25">
      <c r="A34" s="20" t="s">
        <v>41</v>
      </c>
      <c r="B34" s="21" t="s">
        <v>82</v>
      </c>
      <c r="C34" s="28">
        <v>0.5</v>
      </c>
      <c r="D34" s="28">
        <f t="shared" si="10"/>
        <v>5.6148230574083353</v>
      </c>
      <c r="E34" s="28"/>
      <c r="F34" s="36" t="s">
        <v>114</v>
      </c>
      <c r="G34" s="43">
        <f t="shared" si="2"/>
        <v>11.229646114816671</v>
      </c>
      <c r="H34" s="21"/>
      <c r="I34" s="36">
        <v>0.91</v>
      </c>
      <c r="J34" s="36">
        <f t="shared" si="12"/>
        <v>6</v>
      </c>
      <c r="K34" s="38">
        <f t="shared" si="11"/>
        <v>0.33688938344450009</v>
      </c>
      <c r="L34" s="51">
        <f t="shared" si="13"/>
        <v>0.37020811367527479</v>
      </c>
      <c r="M34" s="55" t="s">
        <v>115</v>
      </c>
    </row>
    <row r="35" spans="1:15" x14ac:dyDescent="0.25">
      <c r="C35" s="31">
        <f>SUM(C27:C34)</f>
        <v>8.9050001200000004</v>
      </c>
      <c r="D35" s="31">
        <f>SUM(D27:D34)</f>
        <v>99.999999999999986</v>
      </c>
      <c r="E35" s="31"/>
      <c r="J35" s="41">
        <v>6</v>
      </c>
      <c r="K35" s="38"/>
      <c r="L35" s="40">
        <f>SUM(L27:L34)</f>
        <v>7.0955903464141343</v>
      </c>
    </row>
    <row r="36" spans="1:15" x14ac:dyDescent="0.25">
      <c r="C36" s="39"/>
      <c r="D36" s="31"/>
      <c r="E36" s="31"/>
      <c r="J36" s="34"/>
      <c r="L36" s="27"/>
    </row>
    <row r="37" spans="1:15" x14ac:dyDescent="0.25">
      <c r="A37" s="15" t="s">
        <v>43</v>
      </c>
      <c r="B37" s="23"/>
      <c r="C37" s="24"/>
      <c r="D37" s="24"/>
      <c r="E37" s="24"/>
      <c r="F37" s="16"/>
      <c r="G37" s="16"/>
      <c r="H37" s="16"/>
      <c r="I37" s="16"/>
      <c r="J37" s="35"/>
      <c r="K37" s="16"/>
      <c r="L37" s="17"/>
      <c r="M37" s="53"/>
    </row>
    <row r="38" spans="1:15" x14ac:dyDescent="0.25">
      <c r="A38" s="18" t="s">
        <v>75</v>
      </c>
      <c r="B38" s="27" t="s">
        <v>2</v>
      </c>
      <c r="C38" s="31" t="s">
        <v>76</v>
      </c>
      <c r="D38" s="31" t="s">
        <v>77</v>
      </c>
      <c r="E38" s="31" t="s">
        <v>100</v>
      </c>
      <c r="H38" t="s">
        <v>83</v>
      </c>
      <c r="I38" t="s">
        <v>84</v>
      </c>
      <c r="J38" t="s">
        <v>86</v>
      </c>
      <c r="K38" t="s">
        <v>85</v>
      </c>
      <c r="L38" s="25" t="s">
        <v>92</v>
      </c>
      <c r="M38" s="54"/>
    </row>
    <row r="39" spans="1:15" x14ac:dyDescent="0.25">
      <c r="A39" s="19" t="s">
        <v>44</v>
      </c>
      <c r="B39" s="29" t="s">
        <v>90</v>
      </c>
      <c r="C39" s="32">
        <v>2.8709999340000003</v>
      </c>
      <c r="D39" s="32">
        <f>C39/SUM(C$39:C$53)*100</f>
        <v>12.417282943562489</v>
      </c>
      <c r="E39" s="32" t="s">
        <v>124</v>
      </c>
      <c r="F39" s="8" t="s">
        <v>72</v>
      </c>
      <c r="G39" s="14">
        <f t="shared" si="2"/>
        <v>4.3250725283933384</v>
      </c>
      <c r="H39">
        <v>100</v>
      </c>
      <c r="I39">
        <v>0.7</v>
      </c>
      <c r="J39" s="34">
        <f>$J$54</f>
        <v>5.5</v>
      </c>
      <c r="K39" s="38">
        <f>D39/100*J39</f>
        <v>0.68295056189593684</v>
      </c>
      <c r="L39" s="30">
        <f>D39/100*J39/I39</f>
        <v>0.97564365985133839</v>
      </c>
      <c r="M39" s="56" t="s">
        <v>120</v>
      </c>
    </row>
    <row r="40" spans="1:15" x14ac:dyDescent="0.25">
      <c r="A40" s="26" t="s">
        <v>47</v>
      </c>
      <c r="B40" t="s">
        <v>47</v>
      </c>
      <c r="C40" s="32">
        <v>4.1999997999999996</v>
      </c>
      <c r="D40" s="32">
        <f t="shared" ref="D40:D53" si="14">C40/SUM(C$39:C$53)*100</f>
        <v>18.165303754237513</v>
      </c>
      <c r="E40" s="32"/>
      <c r="F40" t="s">
        <v>73</v>
      </c>
      <c r="G40" s="14">
        <f t="shared" si="2"/>
        <v>4.3250725283933384</v>
      </c>
      <c r="I40">
        <v>0.79</v>
      </c>
      <c r="J40" s="34">
        <f t="shared" ref="J40:J53" si="15">$J$54</f>
        <v>5.5</v>
      </c>
      <c r="K40" s="38">
        <f t="shared" ref="K40:K53" si="16">D40/100*J40</f>
        <v>0.99909170648306322</v>
      </c>
      <c r="L40" s="30">
        <f t="shared" ref="L40:L53" si="17">D40/100*J40/I40</f>
        <v>1.2646730461810927</v>
      </c>
      <c r="M40" s="54" t="s">
        <v>111</v>
      </c>
    </row>
    <row r="41" spans="1:15" x14ac:dyDescent="0.25">
      <c r="A41" s="26" t="s">
        <v>48</v>
      </c>
      <c r="B41" t="s">
        <v>48</v>
      </c>
      <c r="C41" s="32">
        <v>3.5999998999999998</v>
      </c>
      <c r="D41" s="32">
        <f t="shared" si="14"/>
        <v>15.570260669708762</v>
      </c>
      <c r="E41" s="32" t="s">
        <v>128</v>
      </c>
      <c r="F41" t="s">
        <v>73</v>
      </c>
      <c r="G41" s="14">
        <f t="shared" si="2"/>
        <v>4.3250725283933376</v>
      </c>
      <c r="I41">
        <v>0.78400000000000003</v>
      </c>
      <c r="J41" s="34">
        <f t="shared" si="15"/>
        <v>5.5</v>
      </c>
      <c r="K41" s="38">
        <f t="shared" si="16"/>
        <v>0.85636433683398194</v>
      </c>
      <c r="L41" s="30">
        <f t="shared" si="17"/>
        <v>1.0923014500433443</v>
      </c>
      <c r="M41" s="54" t="s">
        <v>129</v>
      </c>
    </row>
    <row r="42" spans="1:15" x14ac:dyDescent="0.25">
      <c r="A42" s="26" t="s">
        <v>49</v>
      </c>
      <c r="B42" t="s">
        <v>49</v>
      </c>
      <c r="C42" s="32">
        <v>3</v>
      </c>
      <c r="D42" s="32">
        <f t="shared" si="14"/>
        <v>12.975217585180015</v>
      </c>
      <c r="E42" s="32"/>
      <c r="F42" t="s">
        <v>73</v>
      </c>
      <c r="G42" s="14">
        <f t="shared" si="2"/>
        <v>4.3250725283933384</v>
      </c>
      <c r="I42">
        <v>0.84</v>
      </c>
      <c r="J42" s="34">
        <f t="shared" si="15"/>
        <v>5.5</v>
      </c>
      <c r="K42" s="38">
        <f t="shared" si="16"/>
        <v>0.71363696718490088</v>
      </c>
      <c r="L42" s="30">
        <f t="shared" si="17"/>
        <v>0.849567818077263</v>
      </c>
      <c r="M42" s="54" t="s">
        <v>112</v>
      </c>
    </row>
    <row r="43" spans="1:15" x14ac:dyDescent="0.25">
      <c r="A43" s="19" t="s">
        <v>50</v>
      </c>
      <c r="B43" t="s">
        <v>50</v>
      </c>
      <c r="C43" s="32">
        <v>0.86470584117647042</v>
      </c>
      <c r="D43" s="32">
        <f t="shared" si="14"/>
        <v>3.7399154788136055</v>
      </c>
      <c r="E43" s="32"/>
      <c r="F43" t="s">
        <v>73</v>
      </c>
      <c r="G43" s="14">
        <f t="shared" si="2"/>
        <v>4.3250725283933384</v>
      </c>
      <c r="I43">
        <v>0.93400000000000005</v>
      </c>
      <c r="J43" s="34">
        <f t="shared" si="15"/>
        <v>5.5</v>
      </c>
      <c r="K43" s="38">
        <f t="shared" si="16"/>
        <v>0.20569535133474828</v>
      </c>
      <c r="L43" s="30">
        <f t="shared" si="17"/>
        <v>0.2202305688808868</v>
      </c>
      <c r="M43" s="54" t="s">
        <v>117</v>
      </c>
    </row>
    <row r="44" spans="1:15" x14ac:dyDescent="0.25">
      <c r="A44" s="19" t="s">
        <v>51</v>
      </c>
      <c r="B44" t="s">
        <v>51</v>
      </c>
      <c r="C44" s="32">
        <v>1.2352940588235293</v>
      </c>
      <c r="D44" s="32">
        <f t="shared" si="14"/>
        <v>5.342736398305151</v>
      </c>
      <c r="E44" s="32"/>
      <c r="F44" t="s">
        <v>73</v>
      </c>
      <c r="G44" s="14">
        <f t="shared" si="2"/>
        <v>4.3250725283933384</v>
      </c>
      <c r="I44">
        <v>1.08</v>
      </c>
      <c r="J44" s="34">
        <f t="shared" si="15"/>
        <v>5.5</v>
      </c>
      <c r="K44" s="38">
        <f t="shared" si="16"/>
        <v>0.2938505019067833</v>
      </c>
      <c r="L44" s="30">
        <f t="shared" si="17"/>
        <v>0.27208379806183636</v>
      </c>
      <c r="M44" s="54" t="s">
        <v>102</v>
      </c>
    </row>
    <row r="45" spans="1:15" x14ac:dyDescent="0.25">
      <c r="A45" s="19" t="s">
        <v>52</v>
      </c>
      <c r="B45" t="s">
        <v>81</v>
      </c>
      <c r="C45" s="32">
        <v>1.7</v>
      </c>
      <c r="D45" s="32">
        <f t="shared" si="14"/>
        <v>7.352623298268675</v>
      </c>
      <c r="E45" s="32"/>
      <c r="F45" t="s">
        <v>73</v>
      </c>
      <c r="G45" s="14">
        <f t="shared" si="2"/>
        <v>4.3250725283933384</v>
      </c>
      <c r="I45">
        <v>0.98299999999999998</v>
      </c>
      <c r="J45" s="34">
        <f t="shared" si="15"/>
        <v>5.5</v>
      </c>
      <c r="K45" s="38">
        <f t="shared" si="16"/>
        <v>0.40439428140477712</v>
      </c>
      <c r="L45" s="30">
        <f t="shared" si="17"/>
        <v>0.41138787528461557</v>
      </c>
      <c r="M45" s="54" t="s">
        <v>106</v>
      </c>
    </row>
    <row r="46" spans="1:15" x14ac:dyDescent="0.25">
      <c r="A46" s="19" t="s">
        <v>54</v>
      </c>
      <c r="B46" t="s">
        <v>54</v>
      </c>
      <c r="C46" s="32">
        <v>1.6</v>
      </c>
      <c r="D46" s="32">
        <f t="shared" si="14"/>
        <v>6.9201160454293422</v>
      </c>
      <c r="E46" s="32"/>
      <c r="F46" t="s">
        <v>73</v>
      </c>
      <c r="G46" s="14">
        <f t="shared" si="2"/>
        <v>4.3250725283933384</v>
      </c>
      <c r="I46">
        <v>0.79</v>
      </c>
      <c r="J46" s="34">
        <f t="shared" si="15"/>
        <v>5.5</v>
      </c>
      <c r="K46" s="38">
        <f t="shared" si="16"/>
        <v>0.38060638249861378</v>
      </c>
      <c r="L46" s="30">
        <f t="shared" si="17"/>
        <v>0.4817802310109035</v>
      </c>
      <c r="M46" s="54" t="s">
        <v>118</v>
      </c>
    </row>
    <row r="47" spans="1:15" x14ac:dyDescent="0.25">
      <c r="A47" s="19" t="s">
        <v>55</v>
      </c>
      <c r="B47" t="s">
        <v>55</v>
      </c>
      <c r="C47" s="32">
        <v>0.624</v>
      </c>
      <c r="D47" s="32">
        <f t="shared" si="14"/>
        <v>2.6988452577174429</v>
      </c>
      <c r="E47" s="32"/>
      <c r="F47" t="s">
        <v>73</v>
      </c>
      <c r="G47" s="14">
        <f t="shared" si="2"/>
        <v>4.3250725283933376</v>
      </c>
      <c r="I47">
        <v>0.83</v>
      </c>
      <c r="J47" s="34">
        <f t="shared" si="15"/>
        <v>5.5</v>
      </c>
      <c r="K47" s="38">
        <f t="shared" si="16"/>
        <v>0.14843648917445937</v>
      </c>
      <c r="L47" s="30">
        <f t="shared" si="17"/>
        <v>0.17883914358368599</v>
      </c>
      <c r="M47" s="54" t="s">
        <v>119</v>
      </c>
    </row>
    <row r="48" spans="1:15" x14ac:dyDescent="0.25">
      <c r="A48" s="19" t="s">
        <v>56</v>
      </c>
      <c r="B48" t="s">
        <v>56</v>
      </c>
      <c r="C48" s="32">
        <v>0.24700000000000003</v>
      </c>
      <c r="D48" s="32">
        <f t="shared" si="14"/>
        <v>1.0682929145131546</v>
      </c>
      <c r="E48" s="32"/>
      <c r="F48" t="s">
        <v>73</v>
      </c>
      <c r="G48" s="14">
        <f t="shared" si="2"/>
        <v>4.3250725283933376</v>
      </c>
      <c r="I48">
        <v>0.83</v>
      </c>
      <c r="J48" s="34">
        <f t="shared" si="15"/>
        <v>5.5</v>
      </c>
      <c r="K48" s="38">
        <f t="shared" si="16"/>
        <v>5.8756110298223502E-2</v>
      </c>
      <c r="L48" s="30">
        <f t="shared" si="17"/>
        <v>7.0790494335209037E-2</v>
      </c>
      <c r="M48" s="54" t="s">
        <v>106</v>
      </c>
    </row>
    <row r="49" spans="1:14" x14ac:dyDescent="0.25">
      <c r="A49" s="19" t="s">
        <v>57</v>
      </c>
      <c r="B49" t="s">
        <v>57</v>
      </c>
      <c r="C49" s="32">
        <v>0.42900000000000005</v>
      </c>
      <c r="D49" s="32">
        <f t="shared" si="14"/>
        <v>1.8554561146807425</v>
      </c>
      <c r="E49" s="32"/>
      <c r="F49" t="s">
        <v>73</v>
      </c>
      <c r="G49" s="14">
        <f t="shared" si="2"/>
        <v>4.3250725283933384</v>
      </c>
      <c r="I49">
        <v>0.85</v>
      </c>
      <c r="J49" s="34">
        <f t="shared" si="15"/>
        <v>5.5</v>
      </c>
      <c r="K49" s="38">
        <f t="shared" si="16"/>
        <v>0.10205008630744083</v>
      </c>
      <c r="L49" s="30">
        <f t="shared" si="17"/>
        <v>0.12005892506757745</v>
      </c>
      <c r="M49" s="54" t="s">
        <v>106</v>
      </c>
    </row>
    <row r="50" spans="1:14" x14ac:dyDescent="0.25">
      <c r="A50" s="19" t="s">
        <v>58</v>
      </c>
      <c r="B50" t="s">
        <v>58</v>
      </c>
      <c r="C50" s="32">
        <v>1.1499999999999999</v>
      </c>
      <c r="D50" s="32">
        <f t="shared" si="14"/>
        <v>4.9738334076523385</v>
      </c>
      <c r="E50" s="32" t="s">
        <v>98</v>
      </c>
      <c r="F50" t="s">
        <v>73</v>
      </c>
      <c r="G50" s="14">
        <f t="shared" si="2"/>
        <v>4.3250725283933384</v>
      </c>
      <c r="I50">
        <v>1.046</v>
      </c>
      <c r="J50" s="34">
        <f t="shared" si="15"/>
        <v>5.5</v>
      </c>
      <c r="K50" s="38">
        <f t="shared" si="16"/>
        <v>0.27356083742087861</v>
      </c>
      <c r="L50" s="30">
        <f>D50/100*J50/I50/0.4</f>
        <v>0.65382609326213814</v>
      </c>
      <c r="M50" s="54" t="s">
        <v>116</v>
      </c>
      <c r="N50">
        <f>K50/0.4</f>
        <v>0.68390209355219644</v>
      </c>
    </row>
    <row r="51" spans="1:14" x14ac:dyDescent="0.25">
      <c r="A51" s="19" t="s">
        <v>59</v>
      </c>
      <c r="B51" t="s">
        <v>60</v>
      </c>
      <c r="C51" s="32">
        <v>0.60000001999999997</v>
      </c>
      <c r="D51" s="32">
        <f t="shared" si="14"/>
        <v>2.5950436035374533</v>
      </c>
      <c r="E51" s="32" t="s">
        <v>130</v>
      </c>
      <c r="F51" t="s">
        <v>73</v>
      </c>
      <c r="G51" s="14">
        <f t="shared" si="2"/>
        <v>4.3250725283933384</v>
      </c>
      <c r="I51">
        <v>0.94</v>
      </c>
      <c r="J51" s="34">
        <f t="shared" si="15"/>
        <v>5.5</v>
      </c>
      <c r="K51" s="38">
        <f t="shared" si="16"/>
        <v>0.14272739819455993</v>
      </c>
      <c r="L51" s="30">
        <f t="shared" si="17"/>
        <v>0.15183765765378718</v>
      </c>
      <c r="M51" s="54" t="s">
        <v>127</v>
      </c>
    </row>
    <row r="52" spans="1:14" x14ac:dyDescent="0.25">
      <c r="A52" s="19" t="s">
        <v>61</v>
      </c>
      <c r="B52" t="s">
        <v>62</v>
      </c>
      <c r="C52" s="32">
        <v>0.5</v>
      </c>
      <c r="D52" s="32">
        <f t="shared" si="14"/>
        <v>2.1625362641966692</v>
      </c>
      <c r="E52" s="32"/>
      <c r="F52" t="s">
        <v>73</v>
      </c>
      <c r="G52" s="14">
        <f t="shared" si="2"/>
        <v>4.3250725283933384</v>
      </c>
      <c r="I52">
        <v>0.78600000000000003</v>
      </c>
      <c r="J52" s="34">
        <f t="shared" si="15"/>
        <v>5.5</v>
      </c>
      <c r="K52" s="38">
        <f t="shared" si="16"/>
        <v>0.11893949453081681</v>
      </c>
      <c r="L52" s="30">
        <f t="shared" si="17"/>
        <v>0.15132251212572112</v>
      </c>
      <c r="M52" s="54" t="s">
        <v>111</v>
      </c>
    </row>
    <row r="53" spans="1:14" x14ac:dyDescent="0.25">
      <c r="A53" s="20" t="s">
        <v>63</v>
      </c>
      <c r="B53" s="21" t="s">
        <v>64</v>
      </c>
      <c r="C53" s="28">
        <v>0.5</v>
      </c>
      <c r="D53" s="28">
        <f t="shared" si="14"/>
        <v>2.1625362641966692</v>
      </c>
      <c r="E53" s="28"/>
      <c r="F53" s="21" t="s">
        <v>73</v>
      </c>
      <c r="G53" s="43">
        <f t="shared" si="2"/>
        <v>4.3250725283933384</v>
      </c>
      <c r="H53" s="21"/>
      <c r="I53" s="21">
        <v>0.80500000000000005</v>
      </c>
      <c r="J53" s="36">
        <f t="shared" si="15"/>
        <v>5.5</v>
      </c>
      <c r="K53" s="38">
        <f t="shared" si="16"/>
        <v>0.11893949453081681</v>
      </c>
      <c r="L53" s="33">
        <f t="shared" si="17"/>
        <v>0.14775092488300223</v>
      </c>
      <c r="M53" s="55" t="s">
        <v>119</v>
      </c>
    </row>
    <row r="54" spans="1:14" x14ac:dyDescent="0.25">
      <c r="C54" s="31">
        <f>SUM(C39:C53)</f>
        <v>23.120999553999994</v>
      </c>
      <c r="D54" s="31">
        <f>SUM(D39:D53)</f>
        <v>100.00000000000003</v>
      </c>
      <c r="E54" s="31"/>
      <c r="J54" s="41">
        <v>5.5</v>
      </c>
      <c r="L54" s="40">
        <f>SUM(L39:L53)</f>
        <v>7.0420941983024026</v>
      </c>
    </row>
    <row r="55" spans="1:14" x14ac:dyDescent="0.25">
      <c r="D55" s="31"/>
      <c r="E55" s="31"/>
      <c r="J55" s="34"/>
      <c r="L55" s="27"/>
    </row>
    <row r="56" spans="1:14" x14ac:dyDescent="0.25">
      <c r="A56" s="15" t="s">
        <v>65</v>
      </c>
      <c r="B56" s="23"/>
      <c r="C56" s="24"/>
      <c r="D56" s="24"/>
      <c r="E56" s="24"/>
      <c r="F56" s="16"/>
      <c r="G56" s="16"/>
      <c r="H56" s="16"/>
      <c r="I56" s="16"/>
      <c r="J56" s="16"/>
      <c r="K56" s="16"/>
      <c r="L56" s="17"/>
      <c r="M56" s="53"/>
    </row>
    <row r="57" spans="1:14" x14ac:dyDescent="0.25">
      <c r="A57" s="18" t="s">
        <v>75</v>
      </c>
      <c r="B57" s="27" t="s">
        <v>2</v>
      </c>
      <c r="C57" s="31" t="s">
        <v>76</v>
      </c>
      <c r="D57" s="31" t="s">
        <v>77</v>
      </c>
      <c r="E57" s="31" t="s">
        <v>100</v>
      </c>
      <c r="H57" t="s">
        <v>83</v>
      </c>
      <c r="I57" t="s">
        <v>84</v>
      </c>
      <c r="J57" t="s">
        <v>86</v>
      </c>
      <c r="K57" t="s">
        <v>85</v>
      </c>
      <c r="L57" s="25" t="s">
        <v>92</v>
      </c>
      <c r="M57" s="54"/>
    </row>
    <row r="58" spans="1:14" x14ac:dyDescent="0.25">
      <c r="A58" s="19" t="s">
        <v>66</v>
      </c>
      <c r="B58" t="s">
        <v>66</v>
      </c>
      <c r="C58" s="32">
        <v>1.1499999999999999</v>
      </c>
      <c r="D58" s="32">
        <f>C58/SUM(C$58:C$60)*100</f>
        <v>14.412833930482483</v>
      </c>
      <c r="E58" s="32" t="s">
        <v>123</v>
      </c>
      <c r="F58" t="s">
        <v>73</v>
      </c>
      <c r="G58" s="14">
        <f t="shared" si="2"/>
        <v>12.532899069984769</v>
      </c>
      <c r="I58">
        <v>1.0509999999999999</v>
      </c>
      <c r="J58" s="34">
        <f>$J$61</f>
        <v>7.5</v>
      </c>
      <c r="K58" s="38">
        <f t="shared" ref="K58:K60" si="18">D58/100*J58</f>
        <v>1.0809625447861861</v>
      </c>
      <c r="L58" s="30">
        <f>D58/100*J58/I58</f>
        <v>1.0285086058860002</v>
      </c>
      <c r="M58" s="54" t="s">
        <v>105</v>
      </c>
    </row>
    <row r="59" spans="1:14" x14ac:dyDescent="0.25">
      <c r="A59" s="19" t="s">
        <v>67</v>
      </c>
      <c r="B59" t="s">
        <v>67</v>
      </c>
      <c r="C59" s="32">
        <v>5.8289998660000011</v>
      </c>
      <c r="D59" s="32">
        <f t="shared" ref="D59:D60" si="19">C59/SUM(C$58:C$60)*100</f>
        <v>73.054266999532757</v>
      </c>
      <c r="E59" s="32"/>
      <c r="F59" t="s">
        <v>73</v>
      </c>
      <c r="G59" s="14">
        <f t="shared" si="2"/>
        <v>12.532899069984769</v>
      </c>
      <c r="I59">
        <v>1.05</v>
      </c>
      <c r="J59" s="34">
        <f t="shared" ref="J59:J60" si="20">$J$61</f>
        <v>7.5</v>
      </c>
      <c r="K59" s="38">
        <f t="shared" si="18"/>
        <v>5.4790700249649564</v>
      </c>
      <c r="L59" s="30">
        <f>D59/100*J59/I59</f>
        <v>5.2181619285380538</v>
      </c>
      <c r="M59" s="54" t="s">
        <v>116</v>
      </c>
    </row>
    <row r="60" spans="1:14" x14ac:dyDescent="0.25">
      <c r="A60" s="20" t="s">
        <v>68</v>
      </c>
      <c r="B60" s="21" t="s">
        <v>68</v>
      </c>
      <c r="C60" s="28">
        <v>1</v>
      </c>
      <c r="D60" s="28">
        <f t="shared" si="19"/>
        <v>12.532899069984769</v>
      </c>
      <c r="E60" s="28"/>
      <c r="F60" s="21" t="s">
        <v>73</v>
      </c>
      <c r="G60" s="43">
        <f t="shared" si="2"/>
        <v>12.532899069984769</v>
      </c>
      <c r="H60" s="21"/>
      <c r="I60" s="21">
        <v>1.22</v>
      </c>
      <c r="J60" s="36">
        <f t="shared" si="20"/>
        <v>7.5</v>
      </c>
      <c r="K60" s="38">
        <f t="shared" si="18"/>
        <v>0.93996743024885765</v>
      </c>
      <c r="L60" s="33">
        <f>D60/100*J60/I60</f>
        <v>0.77046510676135871</v>
      </c>
      <c r="M60" s="55" t="s">
        <v>116</v>
      </c>
    </row>
    <row r="61" spans="1:14" x14ac:dyDescent="0.25">
      <c r="C61" s="31">
        <f>SUM(C58:C60)</f>
        <v>7.9789998660000006</v>
      </c>
      <c r="D61" s="31">
        <f>SUM(D58:D60)</f>
        <v>100</v>
      </c>
      <c r="E61" s="31"/>
      <c r="J61" s="41">
        <v>7.5</v>
      </c>
      <c r="L61" s="40">
        <f>SUM(L58:L60)</f>
        <v>7.0171356411854129</v>
      </c>
    </row>
    <row r="63" spans="1:14" ht="18.75" x14ac:dyDescent="0.3">
      <c r="B63" s="48" t="s">
        <v>93</v>
      </c>
      <c r="C63" s="49">
        <f>SUM(C61,C54,C35,C23,C11)</f>
        <v>70.704999510000007</v>
      </c>
    </row>
    <row r="64" spans="1:14" ht="18.75" x14ac:dyDescent="0.3">
      <c r="B64" s="44" t="s">
        <v>94</v>
      </c>
      <c r="C64" s="17"/>
    </row>
    <row r="65" spans="2:3" x14ac:dyDescent="0.25">
      <c r="B65" s="45" t="s">
        <v>0</v>
      </c>
      <c r="C65" s="25">
        <f>C11/SUM($C$11,$C$23,$C$35,$C$54,$C$61)*100</f>
        <v>18.103387325799588</v>
      </c>
    </row>
    <row r="66" spans="2:3" x14ac:dyDescent="0.25">
      <c r="B66" s="45" t="s">
        <v>15</v>
      </c>
      <c r="C66" s="25">
        <f>C23/SUM($C$11,$C$23,$C$35,$C$54,$C$61)*100</f>
        <v>25.316455942367067</v>
      </c>
    </row>
    <row r="67" spans="2:3" x14ac:dyDescent="0.25">
      <c r="B67" s="45" t="s">
        <v>28</v>
      </c>
      <c r="C67" s="25">
        <f>C35/SUM($C$11,$C$23,$C$35,$C$54,$C$61)*100</f>
        <v>12.594583384079568</v>
      </c>
    </row>
    <row r="68" spans="2:3" x14ac:dyDescent="0.25">
      <c r="B68" s="45" t="s">
        <v>43</v>
      </c>
      <c r="C68" s="25">
        <f>C54/SUM($C$11,$C$23,$C$35,$C$54,$C$61)*100</f>
        <v>32.700657257949537</v>
      </c>
    </row>
    <row r="69" spans="2:3" x14ac:dyDescent="0.25">
      <c r="B69" s="46" t="s">
        <v>65</v>
      </c>
      <c r="C69" s="47">
        <f>C61/SUM($C$11,$C$23,$C$35,$C$54,$C$61)*100</f>
        <v>11.284916089804243</v>
      </c>
    </row>
    <row r="70" spans="2:3" x14ac:dyDescent="0.25">
      <c r="C70">
        <f>SUM(C65:C69)</f>
        <v>100.00000000000001</v>
      </c>
    </row>
    <row r="72" spans="2:3" ht="18.75" x14ac:dyDescent="0.3">
      <c r="B72" s="44" t="s">
        <v>95</v>
      </c>
      <c r="C72" s="17"/>
    </row>
    <row r="73" spans="2:3" x14ac:dyDescent="0.25">
      <c r="B73" s="45" t="s">
        <v>0</v>
      </c>
      <c r="C73" s="25">
        <f>C65/SUM(C65:C66)*100</f>
        <v>41.693810855075384</v>
      </c>
    </row>
    <row r="74" spans="2:3" x14ac:dyDescent="0.25">
      <c r="B74" s="46" t="s">
        <v>15</v>
      </c>
      <c r="C74" s="47">
        <f>C66/SUM(C65:C66)*100</f>
        <v>58.306189144924616</v>
      </c>
    </row>
    <row r="75" spans="2:3" x14ac:dyDescent="0.25">
      <c r="C75">
        <f>SUM(C72:C74)</f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FCFC-C7C9-479F-A1F1-CA6A1B58DE13}">
  <dimension ref="A1:N80"/>
  <sheetViews>
    <sheetView workbookViewId="0">
      <selection activeCell="F28" sqref="F28"/>
    </sheetView>
  </sheetViews>
  <sheetFormatPr defaultColWidth="8.85546875" defaultRowHeight="15" x14ac:dyDescent="0.25"/>
  <cols>
    <col min="1" max="1" width="53.7109375" bestFit="1" customWidth="1"/>
    <col min="2" max="2" width="41.85546875" bestFit="1" customWidth="1"/>
    <col min="3" max="3" width="11.7109375" style="66" customWidth="1"/>
    <col min="4" max="4" width="14.28515625" bestFit="1" customWidth="1"/>
    <col min="5" max="5" width="33.28515625" bestFit="1" customWidth="1"/>
    <col min="6" max="6" width="18.85546875" bestFit="1" customWidth="1"/>
    <col min="7" max="7" width="17.7109375" customWidth="1"/>
    <col min="8" max="8" width="12.28515625" bestFit="1" customWidth="1"/>
    <col min="9" max="9" width="12.42578125" bestFit="1" customWidth="1"/>
    <col min="10" max="10" width="19" bestFit="1" customWidth="1"/>
    <col min="11" max="11" width="13.7109375" bestFit="1" customWidth="1"/>
    <col min="12" max="12" width="54.42578125" bestFit="1" customWidth="1"/>
    <col min="13" max="13" width="13.7109375" style="52" customWidth="1"/>
  </cols>
  <sheetData>
    <row r="1" spans="1:13" x14ac:dyDescent="0.25">
      <c r="J1" s="27"/>
      <c r="K1" s="27"/>
      <c r="L1" s="27"/>
    </row>
    <row r="3" spans="1:13" x14ac:dyDescent="0.25">
      <c r="A3" s="15" t="s">
        <v>131</v>
      </c>
      <c r="B3" s="16"/>
      <c r="C3" s="67"/>
      <c r="D3" s="16"/>
      <c r="E3" s="17"/>
    </row>
    <row r="4" spans="1:13" x14ac:dyDescent="0.25">
      <c r="A4" s="18" t="s">
        <v>75</v>
      </c>
      <c r="B4" s="27" t="s">
        <v>2</v>
      </c>
      <c r="C4" s="68" t="s">
        <v>132</v>
      </c>
      <c r="D4" s="5" t="s">
        <v>77</v>
      </c>
      <c r="E4" s="77" t="s">
        <v>133</v>
      </c>
    </row>
    <row r="5" spans="1:13" x14ac:dyDescent="0.25">
      <c r="A5" s="19" t="s">
        <v>5</v>
      </c>
      <c r="B5" t="s">
        <v>6</v>
      </c>
      <c r="C5" s="66">
        <v>0.93567</v>
      </c>
      <c r="D5" s="32">
        <f>C5/$C$19*100</f>
        <v>12.359698982739193</v>
      </c>
      <c r="E5" s="78">
        <f>C5/SUM($C$5:$C$10)*100</f>
        <v>29.708336508420331</v>
      </c>
      <c r="G5" s="14"/>
      <c r="I5" s="29"/>
      <c r="J5" s="37"/>
      <c r="K5" s="37"/>
      <c r="L5" s="61"/>
    </row>
    <row r="6" spans="1:13" x14ac:dyDescent="0.25">
      <c r="A6" s="19" t="s">
        <v>7</v>
      </c>
      <c r="B6" t="s">
        <v>8</v>
      </c>
      <c r="C6" s="66">
        <v>0.51046999999999998</v>
      </c>
      <c r="D6" s="32">
        <f t="shared" ref="D6:D18" si="0">C6/$C$19*100</f>
        <v>6.7430349799810569</v>
      </c>
      <c r="E6" s="78">
        <f>C6/SUM($C$5:$C$10)*100</f>
        <v>16.207866595544715</v>
      </c>
      <c r="G6" s="14"/>
      <c r="I6" s="34"/>
      <c r="J6" s="37"/>
      <c r="K6" s="37"/>
      <c r="L6" s="62"/>
    </row>
    <row r="7" spans="1:13" x14ac:dyDescent="0.25">
      <c r="A7" s="19" t="s">
        <v>9</v>
      </c>
      <c r="B7" t="s">
        <v>9</v>
      </c>
      <c r="C7" s="66">
        <v>0.43297000000000002</v>
      </c>
      <c r="D7" s="32">
        <f t="shared" si="0"/>
        <v>5.7193015363927335</v>
      </c>
      <c r="E7" s="78">
        <f t="shared" ref="E7:E10" si="1">C7/SUM($C$5:$C$10)*100</f>
        <v>13.747174172572327</v>
      </c>
      <c r="G7" s="14"/>
      <c r="I7" s="29"/>
      <c r="J7" s="37"/>
      <c r="K7" s="37"/>
      <c r="L7" s="61"/>
    </row>
    <row r="8" spans="1:13" x14ac:dyDescent="0.25">
      <c r="A8" s="19" t="s">
        <v>78</v>
      </c>
      <c r="B8" t="s">
        <v>11</v>
      </c>
      <c r="C8" s="66">
        <v>0.44614999999999999</v>
      </c>
      <c r="D8" s="32">
        <f t="shared" si="0"/>
        <v>5.8934022691216894</v>
      </c>
      <c r="E8" s="78">
        <f t="shared" si="1"/>
        <v>14.165650638827501</v>
      </c>
      <c r="G8" s="14"/>
      <c r="J8" s="37"/>
      <c r="K8" s="37"/>
      <c r="L8" s="38"/>
    </row>
    <row r="9" spans="1:13" x14ac:dyDescent="0.25">
      <c r="A9" s="19" t="s">
        <v>12</v>
      </c>
      <c r="B9" t="s">
        <v>12</v>
      </c>
      <c r="C9" s="66">
        <v>0.68317000000000005</v>
      </c>
      <c r="D9" s="32">
        <f t="shared" si="0"/>
        <v>9.0243093762094926</v>
      </c>
      <c r="E9" s="78">
        <f t="shared" si="1"/>
        <v>21.691241840026414</v>
      </c>
      <c r="G9" s="14"/>
      <c r="I9" s="29"/>
      <c r="J9" s="37"/>
      <c r="K9" s="37"/>
      <c r="L9" s="61"/>
    </row>
    <row r="10" spans="1:13" x14ac:dyDescent="0.25">
      <c r="A10" s="20" t="s">
        <v>13</v>
      </c>
      <c r="B10" s="36" t="s">
        <v>97</v>
      </c>
      <c r="C10" s="69">
        <v>0.14108999999999999</v>
      </c>
      <c r="D10" s="28">
        <f t="shared" si="0"/>
        <v>1.8637232458822797</v>
      </c>
      <c r="E10" s="79">
        <f t="shared" si="1"/>
        <v>4.4797302446087022</v>
      </c>
      <c r="G10" s="14"/>
      <c r="J10" s="37"/>
      <c r="K10" s="37"/>
      <c r="L10" s="38"/>
    </row>
    <row r="11" spans="1:13" x14ac:dyDescent="0.25">
      <c r="A11" s="80" t="s">
        <v>16</v>
      </c>
      <c r="B11" s="16" t="s">
        <v>17</v>
      </c>
      <c r="C11" s="67">
        <v>0.72994000000000003</v>
      </c>
      <c r="D11" s="81">
        <f t="shared" si="0"/>
        <v>9.6421159975853108</v>
      </c>
      <c r="E11" s="82">
        <f>C11/SUM($C$11:$C$18)*100</f>
        <v>16.511453783356444</v>
      </c>
      <c r="G11" s="14"/>
      <c r="J11" s="34"/>
      <c r="K11" s="38"/>
      <c r="L11" s="38"/>
    </row>
    <row r="12" spans="1:13" x14ac:dyDescent="0.25">
      <c r="A12" s="19" t="s">
        <v>18</v>
      </c>
      <c r="B12" t="s">
        <v>18</v>
      </c>
      <c r="C12" s="66">
        <v>0.44708999999999999</v>
      </c>
      <c r="D12" s="32">
        <f t="shared" si="0"/>
        <v>5.9058191650826313</v>
      </c>
      <c r="E12" s="78">
        <f t="shared" ref="E12:E18" si="2">C12/SUM($C$11:$C$18)*100</f>
        <v>10.113305027811645</v>
      </c>
      <c r="G12" s="14"/>
      <c r="J12" s="34"/>
      <c r="K12" s="38"/>
      <c r="L12" s="38"/>
    </row>
    <row r="13" spans="1:13" x14ac:dyDescent="0.25">
      <c r="A13" s="19" t="s">
        <v>19</v>
      </c>
      <c r="B13" t="s">
        <v>20</v>
      </c>
      <c r="C13" s="66">
        <v>0.41672999999999999</v>
      </c>
      <c r="D13" s="32">
        <f t="shared" si="0"/>
        <v>5.5047798444717726</v>
      </c>
      <c r="E13" s="78">
        <f t="shared" si="2"/>
        <v>9.4265530524949046</v>
      </c>
      <c r="G13" s="14"/>
      <c r="J13" s="34"/>
      <c r="K13" s="38"/>
      <c r="L13" s="38"/>
    </row>
    <row r="14" spans="1:13" x14ac:dyDescent="0.25">
      <c r="A14" s="19" t="s">
        <v>21</v>
      </c>
      <c r="B14" t="s">
        <v>80</v>
      </c>
      <c r="C14" s="66">
        <v>0.84206000000000003</v>
      </c>
      <c r="D14" s="32">
        <f t="shared" si="0"/>
        <v>11.123161077522379</v>
      </c>
      <c r="E14" s="78">
        <f t="shared" si="2"/>
        <v>19.04764059075147</v>
      </c>
      <c r="G14" s="14"/>
      <c r="J14" s="34"/>
      <c r="K14" s="38"/>
      <c r="L14" s="38"/>
      <c r="M14" s="63"/>
    </row>
    <row r="15" spans="1:13" x14ac:dyDescent="0.25">
      <c r="A15" s="19" t="s">
        <v>22</v>
      </c>
      <c r="B15" t="s">
        <v>22</v>
      </c>
      <c r="C15" s="66">
        <v>0.67618999999999996</v>
      </c>
      <c r="D15" s="32">
        <f t="shared" si="0"/>
        <v>8.9321073189675992</v>
      </c>
      <c r="E15" s="78">
        <f t="shared" si="2"/>
        <v>15.295613247346074</v>
      </c>
      <c r="G15" s="14"/>
      <c r="J15" s="34"/>
      <c r="K15" s="38"/>
      <c r="L15" s="38"/>
    </row>
    <row r="16" spans="1:13" x14ac:dyDescent="0.25">
      <c r="A16" s="19" t="s">
        <v>23</v>
      </c>
      <c r="B16" t="s">
        <v>23</v>
      </c>
      <c r="C16" s="66">
        <v>0.65215000000000001</v>
      </c>
      <c r="D16" s="32">
        <f t="shared" si="0"/>
        <v>8.6145518094983977</v>
      </c>
      <c r="E16" s="78">
        <f t="shared" si="2"/>
        <v>14.751821498775112</v>
      </c>
      <c r="G16" s="14"/>
      <c r="I16" s="29"/>
      <c r="J16" s="34"/>
      <c r="K16" s="38"/>
      <c r="L16" s="61"/>
    </row>
    <row r="17" spans="1:12" x14ac:dyDescent="0.25">
      <c r="A17" s="19" t="s">
        <v>24</v>
      </c>
      <c r="B17" t="s">
        <v>25</v>
      </c>
      <c r="C17" s="66">
        <v>0.39900000000000002</v>
      </c>
      <c r="D17" s="32">
        <f t="shared" si="0"/>
        <v>5.2705760515063416</v>
      </c>
      <c r="E17" s="78">
        <f t="shared" si="2"/>
        <v>9.0254953277792982</v>
      </c>
      <c r="G17" s="14"/>
      <c r="J17" s="34"/>
      <c r="K17" s="38"/>
      <c r="L17" s="38"/>
    </row>
    <row r="18" spans="1:12" x14ac:dyDescent="0.25">
      <c r="A18" s="20" t="s">
        <v>79</v>
      </c>
      <c r="B18" s="21" t="s">
        <v>27</v>
      </c>
      <c r="C18" s="70">
        <v>0.25764999999999999</v>
      </c>
      <c r="D18" s="28">
        <f t="shared" si="0"/>
        <v>3.4034183450391198</v>
      </c>
      <c r="E18" s="79">
        <f t="shared" si="2"/>
        <v>5.8281174716850526</v>
      </c>
      <c r="G18" s="14"/>
      <c r="J18" s="34"/>
      <c r="K18" s="38"/>
      <c r="L18" s="38"/>
    </row>
    <row r="19" spans="1:12" x14ac:dyDescent="0.25">
      <c r="C19" s="68">
        <f>SUM(C5:C18)</f>
        <v>7.5703300000000002</v>
      </c>
      <c r="D19" s="31">
        <f>SUM(D5:D18)</f>
        <v>99.999999999999986</v>
      </c>
      <c r="E19" s="31"/>
      <c r="J19" s="60"/>
      <c r="L19" s="40"/>
    </row>
    <row r="20" spans="1:12" x14ac:dyDescent="0.25">
      <c r="D20" s="31" t="s">
        <v>134</v>
      </c>
      <c r="E20" s="31">
        <f>SUM(C5:C10)/C19*100</f>
        <v>41.60347039032645</v>
      </c>
      <c r="J20" s="60"/>
      <c r="L20" s="40"/>
    </row>
    <row r="21" spans="1:12" x14ac:dyDescent="0.25">
      <c r="D21" s="31" t="s">
        <v>135</v>
      </c>
      <c r="E21" s="31">
        <f>SUM(C11:C18)/C19*100</f>
        <v>58.39652960967355</v>
      </c>
      <c r="J21" s="60"/>
      <c r="L21" s="40"/>
    </row>
    <row r="22" spans="1:12" x14ac:dyDescent="0.25">
      <c r="D22" s="31"/>
      <c r="E22" s="31"/>
      <c r="J22" s="34"/>
      <c r="L22" s="40"/>
    </row>
    <row r="23" spans="1:12" x14ac:dyDescent="0.25">
      <c r="A23" s="15" t="s">
        <v>28</v>
      </c>
      <c r="B23" s="16"/>
      <c r="C23" s="67"/>
      <c r="D23" s="83"/>
      <c r="E23" s="39"/>
      <c r="J23" s="34"/>
    </row>
    <row r="24" spans="1:12" x14ac:dyDescent="0.25">
      <c r="A24" s="18" t="s">
        <v>75</v>
      </c>
      <c r="B24" s="27" t="s">
        <v>2</v>
      </c>
      <c r="C24" s="68" t="s">
        <v>132</v>
      </c>
      <c r="D24" s="84" t="s">
        <v>77</v>
      </c>
      <c r="E24" s="31"/>
    </row>
    <row r="25" spans="1:12" x14ac:dyDescent="0.25">
      <c r="A25" s="19" t="s">
        <v>29</v>
      </c>
      <c r="B25" s="34" t="s">
        <v>96</v>
      </c>
      <c r="C25" s="85">
        <v>2.9385500000000002</v>
      </c>
      <c r="D25" s="78">
        <f>C25/$C$33*100</f>
        <v>48.491644265343872</v>
      </c>
      <c r="E25" s="32"/>
      <c r="G25" s="14"/>
      <c r="J25" s="34"/>
      <c r="K25" s="38"/>
      <c r="L25" s="38"/>
    </row>
    <row r="26" spans="1:12" x14ac:dyDescent="0.25">
      <c r="A26" s="19" t="s">
        <v>31</v>
      </c>
      <c r="B26" t="s">
        <v>32</v>
      </c>
      <c r="C26" s="66">
        <v>0.86599999999999999</v>
      </c>
      <c r="D26" s="78">
        <f t="shared" ref="D26:D32" si="3">C26/$C$33*100</f>
        <v>14.290641280151025</v>
      </c>
      <c r="E26" s="32"/>
      <c r="G26" s="14"/>
      <c r="J26" s="34"/>
      <c r="K26" s="38"/>
      <c r="L26" s="38"/>
    </row>
    <row r="27" spans="1:12" x14ac:dyDescent="0.25">
      <c r="A27" s="19" t="s">
        <v>33</v>
      </c>
      <c r="B27" t="s">
        <v>33</v>
      </c>
      <c r="C27" s="66">
        <v>0.99878</v>
      </c>
      <c r="D27" s="78">
        <f t="shared" si="3"/>
        <v>16.481762930472563</v>
      </c>
      <c r="E27" s="32"/>
      <c r="G27" s="14"/>
      <c r="J27" s="34"/>
      <c r="K27" s="38"/>
      <c r="L27" s="38"/>
    </row>
    <row r="28" spans="1:12" x14ac:dyDescent="0.25">
      <c r="A28" s="19" t="s">
        <v>34</v>
      </c>
      <c r="B28" t="s">
        <v>34</v>
      </c>
      <c r="C28" s="66">
        <v>0.55932000000000004</v>
      </c>
      <c r="D28" s="78">
        <f t="shared" si="3"/>
        <v>9.2298400471294126</v>
      </c>
      <c r="E28" s="32"/>
      <c r="G28" s="14"/>
      <c r="J28" s="34"/>
      <c r="K28" s="38"/>
      <c r="L28" s="38"/>
    </row>
    <row r="29" spans="1:12" x14ac:dyDescent="0.25">
      <c r="A29" s="19" t="s">
        <v>35</v>
      </c>
      <c r="B29" t="s">
        <v>35</v>
      </c>
      <c r="C29" s="66">
        <v>3.4020000000000002E-2</v>
      </c>
      <c r="D29" s="78">
        <f t="shared" si="3"/>
        <v>0.56139447615558646</v>
      </c>
      <c r="E29" s="32"/>
      <c r="G29" s="14"/>
      <c r="J29" s="34"/>
      <c r="K29" s="38"/>
      <c r="L29" s="38"/>
    </row>
    <row r="30" spans="1:12" x14ac:dyDescent="0.25">
      <c r="A30" s="19" t="s">
        <v>37</v>
      </c>
      <c r="B30" t="s">
        <v>38</v>
      </c>
      <c r="C30" s="66">
        <v>0.23755999999999999</v>
      </c>
      <c r="D30" s="78">
        <f t="shared" si="3"/>
        <v>3.920190233848357</v>
      </c>
      <c r="E30" s="32"/>
      <c r="G30" s="14"/>
      <c r="J30" s="34"/>
      <c r="K30" s="38"/>
      <c r="L30" s="38"/>
    </row>
    <row r="31" spans="1:12" x14ac:dyDescent="0.25">
      <c r="A31" s="19" t="s">
        <v>39</v>
      </c>
      <c r="B31" t="s">
        <v>40</v>
      </c>
      <c r="C31" s="66">
        <v>9.9919999999999995E-2</v>
      </c>
      <c r="D31" s="78">
        <f t="shared" si="3"/>
        <v>1.6488693726474484</v>
      </c>
      <c r="E31" s="32"/>
      <c r="G31" s="14"/>
      <c r="J31" s="34"/>
      <c r="K31" s="38"/>
      <c r="L31" s="38"/>
    </row>
    <row r="32" spans="1:12" x14ac:dyDescent="0.25">
      <c r="A32" s="20" t="s">
        <v>41</v>
      </c>
      <c r="B32" s="21" t="s">
        <v>82</v>
      </c>
      <c r="C32" s="70">
        <v>0.32575999999999999</v>
      </c>
      <c r="D32" s="79">
        <f t="shared" si="3"/>
        <v>5.3756573942517294</v>
      </c>
      <c r="E32" s="32"/>
      <c r="F32" s="34"/>
      <c r="G32" s="14"/>
      <c r="I32" s="34"/>
      <c r="J32" s="34"/>
      <c r="K32" s="38"/>
      <c r="L32" s="62"/>
    </row>
    <row r="33" spans="1:14" x14ac:dyDescent="0.25">
      <c r="C33" s="74">
        <f>SUM(C25:C32)</f>
        <v>6.0599100000000004</v>
      </c>
      <c r="D33" s="31">
        <f>SUM(D25:D32)</f>
        <v>100</v>
      </c>
      <c r="E33" s="31"/>
      <c r="J33" s="41"/>
      <c r="K33" s="38"/>
      <c r="L33" s="40"/>
    </row>
    <row r="34" spans="1:14" x14ac:dyDescent="0.25">
      <c r="D34" s="31"/>
      <c r="E34" s="31"/>
      <c r="J34" s="34"/>
      <c r="L34" s="27"/>
    </row>
    <row r="35" spans="1:14" x14ac:dyDescent="0.25">
      <c r="A35" s="15" t="s">
        <v>43</v>
      </c>
      <c r="B35" s="23"/>
      <c r="C35" s="71"/>
      <c r="D35" s="86"/>
      <c r="E35" s="31"/>
      <c r="J35" s="34"/>
    </row>
    <row r="36" spans="1:14" x14ac:dyDescent="0.25">
      <c r="A36" s="18" t="s">
        <v>75</v>
      </c>
      <c r="B36" s="27" t="s">
        <v>2</v>
      </c>
      <c r="C36" s="68" t="s">
        <v>132</v>
      </c>
      <c r="D36" s="84" t="s">
        <v>77</v>
      </c>
      <c r="E36" s="31"/>
    </row>
    <row r="37" spans="1:14" x14ac:dyDescent="0.25">
      <c r="A37" s="26" t="s">
        <v>47</v>
      </c>
      <c r="B37" t="s">
        <v>47</v>
      </c>
      <c r="C37" s="66">
        <v>1.0995600000000001</v>
      </c>
      <c r="D37" s="78">
        <f>C37/$C$52*100</f>
        <v>19.048740980709763</v>
      </c>
      <c r="E37" s="32"/>
      <c r="G37" s="14"/>
      <c r="J37" s="34"/>
      <c r="K37" s="38"/>
      <c r="L37" s="38"/>
    </row>
    <row r="38" spans="1:14" x14ac:dyDescent="0.25">
      <c r="A38" s="26" t="s">
        <v>48</v>
      </c>
      <c r="B38" t="s">
        <v>48</v>
      </c>
      <c r="C38" s="66">
        <v>0.93920000000000003</v>
      </c>
      <c r="D38" s="78">
        <f t="shared" ref="D38:D51" si="4">C38/$C$52*100</f>
        <v>16.270669657938274</v>
      </c>
      <c r="E38" s="32"/>
      <c r="G38" s="14"/>
      <c r="J38" s="34"/>
      <c r="K38" s="38"/>
      <c r="L38" s="38"/>
    </row>
    <row r="39" spans="1:14" x14ac:dyDescent="0.25">
      <c r="A39" s="26" t="s">
        <v>49</v>
      </c>
      <c r="B39" t="s">
        <v>49</v>
      </c>
      <c r="C39" s="66">
        <v>0.83730000000000004</v>
      </c>
      <c r="D39" s="78">
        <f t="shared" si="4"/>
        <v>14.505357436745866</v>
      </c>
      <c r="E39" s="32"/>
      <c r="G39" s="14"/>
      <c r="J39" s="34"/>
      <c r="K39" s="38"/>
      <c r="L39" s="38"/>
    </row>
    <row r="40" spans="1:14" x14ac:dyDescent="0.25">
      <c r="A40" s="19" t="s">
        <v>50</v>
      </c>
      <c r="B40" t="s">
        <v>50</v>
      </c>
      <c r="C40" s="66">
        <v>0.19350000000000001</v>
      </c>
      <c r="D40" s="78">
        <f t="shared" si="4"/>
        <v>3.352187583912964</v>
      </c>
      <c r="E40" s="32"/>
      <c r="G40" s="14"/>
      <c r="J40" s="34"/>
      <c r="K40" s="38"/>
      <c r="L40" s="38"/>
    </row>
    <row r="41" spans="1:14" x14ac:dyDescent="0.25">
      <c r="A41" s="19" t="s">
        <v>51</v>
      </c>
      <c r="B41" t="s">
        <v>51</v>
      </c>
      <c r="C41" s="66">
        <v>0.31376999999999999</v>
      </c>
      <c r="D41" s="78">
        <f t="shared" si="4"/>
        <v>5.4357410759915803</v>
      </c>
      <c r="E41" s="32"/>
      <c r="G41" s="14"/>
      <c r="J41" s="34"/>
      <c r="K41" s="38"/>
      <c r="L41" s="38"/>
    </row>
    <row r="42" spans="1:14" x14ac:dyDescent="0.25">
      <c r="A42" s="19" t="s">
        <v>52</v>
      </c>
      <c r="B42" t="s">
        <v>81</v>
      </c>
      <c r="C42" s="66">
        <v>0.48196</v>
      </c>
      <c r="D42" s="78">
        <f t="shared" si="4"/>
        <v>8.3494590591353592</v>
      </c>
      <c r="E42" s="32"/>
      <c r="G42" s="14"/>
      <c r="J42" s="34"/>
      <c r="K42" s="38"/>
      <c r="L42" s="38"/>
    </row>
    <row r="43" spans="1:14" x14ac:dyDescent="0.25">
      <c r="A43" s="19" t="s">
        <v>54</v>
      </c>
      <c r="B43" t="s">
        <v>54</v>
      </c>
      <c r="C43" s="66">
        <v>0.38244</v>
      </c>
      <c r="D43" s="78">
        <f t="shared" si="4"/>
        <v>6.6253778790267397</v>
      </c>
      <c r="E43" s="32"/>
      <c r="G43" s="14"/>
      <c r="J43" s="34"/>
      <c r="K43" s="38"/>
      <c r="L43" s="38"/>
    </row>
    <row r="44" spans="1:14" x14ac:dyDescent="0.25">
      <c r="A44" s="19" t="s">
        <v>55</v>
      </c>
      <c r="B44" t="s">
        <v>55</v>
      </c>
      <c r="C44" s="66">
        <v>0.14099999999999999</v>
      </c>
      <c r="D44" s="78">
        <f t="shared" si="4"/>
        <v>2.4426793247117722</v>
      </c>
      <c r="E44" s="32"/>
      <c r="G44" s="14"/>
      <c r="J44" s="34"/>
      <c r="K44" s="38"/>
      <c r="L44" s="38"/>
    </row>
    <row r="45" spans="1:14" x14ac:dyDescent="0.25">
      <c r="A45" s="19" t="s">
        <v>56</v>
      </c>
      <c r="B45" t="s">
        <v>56</v>
      </c>
      <c r="C45" s="66">
        <v>6.5269999999999995E-2</v>
      </c>
      <c r="D45" s="78">
        <f t="shared" si="4"/>
        <v>1.1307353157726054</v>
      </c>
      <c r="E45" s="32"/>
      <c r="G45" s="14"/>
      <c r="J45" s="34"/>
      <c r="K45" s="38"/>
      <c r="L45" s="38"/>
    </row>
    <row r="46" spans="1:14" x14ac:dyDescent="0.25">
      <c r="A46" s="19" t="s">
        <v>57</v>
      </c>
      <c r="B46" t="s">
        <v>57</v>
      </c>
      <c r="C46" s="66">
        <v>0.10439</v>
      </c>
      <c r="D46" s="78">
        <f t="shared" si="4"/>
        <v>1.8084488986288079</v>
      </c>
      <c r="E46" s="32"/>
      <c r="G46" s="14"/>
      <c r="J46" s="34"/>
      <c r="K46" s="38"/>
      <c r="L46" s="38"/>
    </row>
    <row r="47" spans="1:14" x14ac:dyDescent="0.25">
      <c r="A47" s="19" t="s">
        <v>58</v>
      </c>
      <c r="B47" t="s">
        <v>58</v>
      </c>
      <c r="C47" s="66">
        <f>0.82835*0.4</f>
        <v>0.33134000000000002</v>
      </c>
      <c r="D47" s="78">
        <f t="shared" si="4"/>
        <v>5.7401231734042462</v>
      </c>
      <c r="E47" s="32"/>
      <c r="G47" s="14"/>
      <c r="J47" s="34"/>
      <c r="K47" s="38"/>
      <c r="L47" s="38"/>
      <c r="N47">
        <f>K47/0.4</f>
        <v>0</v>
      </c>
    </row>
    <row r="48" spans="1:14" x14ac:dyDescent="0.25">
      <c r="A48" s="19" t="s">
        <v>59</v>
      </c>
      <c r="B48" t="s">
        <v>60</v>
      </c>
      <c r="C48" s="66">
        <v>0.13969999999999999</v>
      </c>
      <c r="D48" s="78">
        <f t="shared" si="4"/>
        <v>2.4201581678172666</v>
      </c>
      <c r="E48" s="32"/>
      <c r="G48" s="14"/>
      <c r="J48" s="34"/>
      <c r="K48" s="38"/>
      <c r="L48" s="38"/>
    </row>
    <row r="49" spans="1:13" x14ac:dyDescent="0.25">
      <c r="A49" s="19" t="s">
        <v>61</v>
      </c>
      <c r="B49" t="s">
        <v>62</v>
      </c>
      <c r="C49" s="66">
        <v>0.11484999999999999</v>
      </c>
      <c r="D49" s="78">
        <f t="shared" si="4"/>
        <v>1.9896575917953692</v>
      </c>
      <c r="E49" s="32"/>
      <c r="G49" s="14"/>
      <c r="J49" s="34"/>
      <c r="K49" s="38"/>
      <c r="L49" s="38"/>
    </row>
    <row r="50" spans="1:13" x14ac:dyDescent="0.25">
      <c r="A50" s="19" t="s">
        <v>63</v>
      </c>
      <c r="B50" t="s">
        <v>64</v>
      </c>
      <c r="C50" s="66">
        <v>0.13106000000000001</v>
      </c>
      <c r="D50" s="78">
        <f t="shared" si="4"/>
        <v>2.2704790943030138</v>
      </c>
      <c r="E50" s="32"/>
      <c r="G50" s="14"/>
      <c r="J50" s="34"/>
      <c r="K50" s="38"/>
      <c r="L50" s="38"/>
    </row>
    <row r="51" spans="1:13" x14ac:dyDescent="0.25">
      <c r="A51" s="76" t="s">
        <v>136</v>
      </c>
      <c r="B51" s="87" t="s">
        <v>137</v>
      </c>
      <c r="C51" s="70">
        <f>0.82835*0.6</f>
        <v>0.49701000000000001</v>
      </c>
      <c r="D51" s="79">
        <f t="shared" si="4"/>
        <v>8.6101847601063692</v>
      </c>
      <c r="E51" s="32"/>
      <c r="G51" s="14"/>
      <c r="J51" s="34"/>
      <c r="K51" s="38"/>
      <c r="L51" s="38"/>
    </row>
    <row r="52" spans="1:13" x14ac:dyDescent="0.25">
      <c r="C52" s="75">
        <f>SUM(C37:C51)</f>
        <v>5.7723500000000003</v>
      </c>
      <c r="D52" s="31">
        <f>SUM(D37:D51)</f>
        <v>100</v>
      </c>
      <c r="E52" s="31"/>
      <c r="J52" s="41"/>
      <c r="L52" s="40"/>
    </row>
    <row r="53" spans="1:13" x14ac:dyDescent="0.25">
      <c r="D53" s="31"/>
      <c r="E53" s="31"/>
      <c r="J53" s="34"/>
      <c r="L53" s="27"/>
    </row>
    <row r="54" spans="1:13" x14ac:dyDescent="0.25">
      <c r="A54" s="15" t="s">
        <v>65</v>
      </c>
      <c r="B54" s="23"/>
      <c r="C54" s="71"/>
      <c r="D54" s="86"/>
      <c r="E54" s="31"/>
    </row>
    <row r="55" spans="1:13" x14ac:dyDescent="0.25">
      <c r="A55" s="18" t="s">
        <v>75</v>
      </c>
      <c r="B55" s="27" t="s">
        <v>2</v>
      </c>
      <c r="C55" s="68" t="s">
        <v>132</v>
      </c>
      <c r="D55" s="84" t="s">
        <v>77</v>
      </c>
      <c r="E55" s="31"/>
    </row>
    <row r="56" spans="1:13" x14ac:dyDescent="0.25">
      <c r="A56" s="19" t="s">
        <v>66</v>
      </c>
      <c r="B56" t="s">
        <v>66</v>
      </c>
      <c r="C56" s="66">
        <v>1.1009</v>
      </c>
      <c r="D56" s="78">
        <f>C56/$C$59*100</f>
        <v>14.207361139789388</v>
      </c>
      <c r="E56" s="32"/>
      <c r="G56" s="14"/>
      <c r="J56" s="34"/>
      <c r="K56" s="38"/>
      <c r="L56" s="38"/>
    </row>
    <row r="57" spans="1:13" x14ac:dyDescent="0.25">
      <c r="A57" s="19" t="s">
        <v>67</v>
      </c>
      <c r="B57" t="s">
        <v>67</v>
      </c>
      <c r="C57" s="66">
        <v>5.6852999999999998</v>
      </c>
      <c r="D57" s="78">
        <f t="shared" ref="D57:D58" si="5">C57/$C$59*100</f>
        <v>73.370070204418752</v>
      </c>
      <c r="E57" s="32"/>
      <c r="G57" s="14"/>
      <c r="J57" s="34"/>
      <c r="K57" s="38"/>
      <c r="L57" s="38"/>
    </row>
    <row r="58" spans="1:13" x14ac:dyDescent="0.25">
      <c r="A58" s="20" t="s">
        <v>68</v>
      </c>
      <c r="B58" s="21" t="s">
        <v>68</v>
      </c>
      <c r="C58" s="70">
        <v>0.96260000000000001</v>
      </c>
      <c r="D58" s="79">
        <f t="shared" si="5"/>
        <v>12.422568655791864</v>
      </c>
      <c r="E58" s="32"/>
      <c r="G58" s="14"/>
      <c r="J58" s="34"/>
      <c r="K58" s="38"/>
      <c r="L58" s="38"/>
    </row>
    <row r="59" spans="1:13" x14ac:dyDescent="0.25">
      <c r="C59" s="31">
        <f>SUM(C56:C58)</f>
        <v>7.7488000000000001</v>
      </c>
      <c r="D59" s="31">
        <f>SUM(D56:D58)</f>
        <v>100</v>
      </c>
      <c r="E59" s="31"/>
      <c r="J59" s="41"/>
      <c r="L59" s="40"/>
    </row>
    <row r="60" spans="1:13" x14ac:dyDescent="0.25">
      <c r="C60" s="31"/>
      <c r="D60" s="31"/>
      <c r="E60" s="31"/>
      <c r="J60" s="41"/>
      <c r="L60" s="40"/>
    </row>
    <row r="61" spans="1:13" x14ac:dyDescent="0.25">
      <c r="A61" s="15" t="s">
        <v>65</v>
      </c>
      <c r="B61" s="23"/>
      <c r="C61" s="24"/>
      <c r="D61" s="86"/>
      <c r="E61" s="31"/>
      <c r="J61" s="41"/>
      <c r="L61" s="40"/>
    </row>
    <row r="62" spans="1:13" x14ac:dyDescent="0.25">
      <c r="A62" s="18" t="s">
        <v>75</v>
      </c>
      <c r="B62" s="27" t="s">
        <v>2</v>
      </c>
      <c r="C62" s="68" t="s">
        <v>132</v>
      </c>
      <c r="D62" s="84" t="s">
        <v>77</v>
      </c>
      <c r="E62" s="31"/>
      <c r="J62" s="41"/>
      <c r="L62" s="40"/>
    </row>
    <row r="63" spans="1:13" x14ac:dyDescent="0.25">
      <c r="A63" s="19" t="s">
        <v>44</v>
      </c>
      <c r="B63" s="34" t="s">
        <v>90</v>
      </c>
      <c r="C63" s="85">
        <v>0.28878999999999999</v>
      </c>
      <c r="D63" s="78">
        <f>C63/$C$65*100</f>
        <v>4.8046384334472974</v>
      </c>
      <c r="E63" s="32"/>
      <c r="G63" s="14"/>
      <c r="J63" s="34"/>
      <c r="K63" s="38"/>
      <c r="L63" s="38"/>
      <c r="M63" s="63"/>
    </row>
    <row r="64" spans="1:13" x14ac:dyDescent="0.25">
      <c r="A64" s="20"/>
      <c r="B64" s="36" t="s">
        <v>138</v>
      </c>
      <c r="C64" s="69">
        <v>5.7218600000000004</v>
      </c>
      <c r="D64" s="79">
        <f>C64/$C$65*100</f>
        <v>95.195361566552705</v>
      </c>
      <c r="E64" s="32"/>
      <c r="G64" s="14"/>
      <c r="J64" s="34"/>
      <c r="K64" s="38"/>
      <c r="L64" s="38"/>
      <c r="M64" s="63"/>
    </row>
    <row r="65" spans="2:13" x14ac:dyDescent="0.25">
      <c r="B65" s="29"/>
      <c r="C65" s="88">
        <f>SUM(C63:C64)</f>
        <v>6.01065</v>
      </c>
      <c r="D65" s="89">
        <f>SUM(D63:D64)</f>
        <v>100</v>
      </c>
      <c r="E65" s="32"/>
      <c r="G65" s="14"/>
      <c r="J65" s="34"/>
      <c r="K65" s="38"/>
      <c r="L65" s="38"/>
      <c r="M65" s="63"/>
    </row>
    <row r="66" spans="2:13" x14ac:dyDescent="0.25">
      <c r="B66" s="29"/>
      <c r="C66" s="72"/>
      <c r="D66" s="32"/>
      <c r="E66" s="32"/>
      <c r="G66" s="14"/>
      <c r="J66" s="34"/>
      <c r="K66" s="38"/>
      <c r="L66" s="38"/>
      <c r="M66" s="63"/>
    </row>
    <row r="67" spans="2:13" x14ac:dyDescent="0.25">
      <c r="B67" s="29"/>
      <c r="C67" s="72"/>
      <c r="D67" s="32"/>
      <c r="E67" s="32"/>
      <c r="G67" s="14"/>
      <c r="J67" s="34"/>
      <c r="K67" s="38"/>
      <c r="L67" s="38"/>
      <c r="M67" s="63"/>
    </row>
    <row r="69" spans="2:13" ht="18.75" x14ac:dyDescent="0.3">
      <c r="B69" s="64"/>
      <c r="C69" s="73"/>
    </row>
    <row r="70" spans="2:13" ht="18.75" x14ac:dyDescent="0.3">
      <c r="B70" s="64"/>
      <c r="C70" s="73"/>
    </row>
    <row r="71" spans="2:13" x14ac:dyDescent="0.25">
      <c r="B71" s="65"/>
      <c r="C71" s="74"/>
    </row>
    <row r="72" spans="2:13" x14ac:dyDescent="0.25">
      <c r="B72" s="65"/>
      <c r="C72" s="74"/>
    </row>
    <row r="73" spans="2:13" x14ac:dyDescent="0.25">
      <c r="B73" s="65"/>
      <c r="C73" s="74"/>
    </row>
    <row r="74" spans="2:13" x14ac:dyDescent="0.25">
      <c r="B74" s="65"/>
      <c r="C74" s="74"/>
    </row>
    <row r="75" spans="2:13" x14ac:dyDescent="0.25">
      <c r="B75" s="65"/>
      <c r="C75" s="74"/>
    </row>
    <row r="78" spans="2:13" ht="18.75" x14ac:dyDescent="0.3">
      <c r="B78" s="64"/>
      <c r="C78" s="73"/>
    </row>
    <row r="79" spans="2:13" x14ac:dyDescent="0.25">
      <c r="B79" s="65"/>
      <c r="C79" s="74"/>
    </row>
    <row r="80" spans="2:13" x14ac:dyDescent="0.25">
      <c r="B80" s="65"/>
      <c r="C80" s="7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5ACF-2BAC-4706-B401-E0EFE34135A4}">
  <dimension ref="A1:N80"/>
  <sheetViews>
    <sheetView tabSelected="1" workbookViewId="0">
      <selection activeCell="F14" sqref="F14"/>
    </sheetView>
  </sheetViews>
  <sheetFormatPr defaultColWidth="8.85546875" defaultRowHeight="15" x14ac:dyDescent="0.25"/>
  <cols>
    <col min="1" max="1" width="53.7109375" bestFit="1" customWidth="1"/>
    <col min="2" max="2" width="41.85546875" bestFit="1" customWidth="1"/>
    <col min="3" max="3" width="11.7109375" style="66" customWidth="1"/>
    <col min="4" max="4" width="14.28515625" bestFit="1" customWidth="1"/>
    <col min="5" max="5" width="36.7109375" bestFit="1" customWidth="1"/>
    <col min="6" max="6" width="18.85546875" bestFit="1" customWidth="1"/>
    <col min="7" max="7" width="26.42578125" bestFit="1" customWidth="1"/>
    <col min="8" max="8" width="17.42578125" customWidth="1"/>
    <col min="9" max="9" width="12.42578125" bestFit="1" customWidth="1"/>
    <col min="10" max="10" width="19" bestFit="1" customWidth="1"/>
    <col min="11" max="11" width="13.7109375" bestFit="1" customWidth="1"/>
    <col min="12" max="12" width="54.42578125" bestFit="1" customWidth="1"/>
    <col min="13" max="13" width="13.7109375" style="52" customWidth="1"/>
  </cols>
  <sheetData>
    <row r="1" spans="1:13" x14ac:dyDescent="0.25">
      <c r="J1" s="27"/>
      <c r="K1" s="27"/>
      <c r="L1" s="27"/>
    </row>
    <row r="3" spans="1:13" x14ac:dyDescent="0.25">
      <c r="A3" s="15" t="s">
        <v>131</v>
      </c>
      <c r="B3" s="16"/>
      <c r="C3" s="67"/>
      <c r="D3" s="16"/>
      <c r="E3" s="17"/>
    </row>
    <row r="4" spans="1:13" x14ac:dyDescent="0.25">
      <c r="A4" s="18" t="s">
        <v>75</v>
      </c>
      <c r="B4" s="27" t="s">
        <v>2</v>
      </c>
      <c r="C4" s="68" t="s">
        <v>132</v>
      </c>
      <c r="D4" s="5" t="s">
        <v>77</v>
      </c>
      <c r="E4" s="77" t="s">
        <v>133</v>
      </c>
      <c r="H4" s="105" t="s">
        <v>77</v>
      </c>
    </row>
    <row r="5" spans="1:13" x14ac:dyDescent="0.25">
      <c r="A5" s="19" t="s">
        <v>5</v>
      </c>
      <c r="B5" t="s">
        <v>6</v>
      </c>
      <c r="C5" s="66">
        <v>0.93567</v>
      </c>
      <c r="D5" s="32">
        <f>C5/$C$19*100</f>
        <v>12.359698982739193</v>
      </c>
      <c r="E5" s="78">
        <f>C5/SUM($C$5:$C$10)*100</f>
        <v>29.708336508420331</v>
      </c>
      <c r="G5" s="103" t="s">
        <v>131</v>
      </c>
      <c r="H5" s="104">
        <f>C19/SUM($C$19,$C$33,$C$52,$C$59,$C$65,$C$72)*100</f>
        <v>19.281550366087437</v>
      </c>
      <c r="I5" s="29"/>
      <c r="J5" s="37"/>
      <c r="K5" s="37"/>
      <c r="L5" s="61"/>
    </row>
    <row r="6" spans="1:13" x14ac:dyDescent="0.25">
      <c r="A6" s="19" t="s">
        <v>7</v>
      </c>
      <c r="B6" t="s">
        <v>8</v>
      </c>
      <c r="C6" s="66">
        <v>0.51046999999999998</v>
      </c>
      <c r="D6" s="32">
        <f t="shared" ref="D6:D18" si="0">C6/$C$19*100</f>
        <v>6.7430349799810569</v>
      </c>
      <c r="E6" s="78">
        <f>C6/SUM($C$5:$C$10)*100</f>
        <v>16.207866595544715</v>
      </c>
      <c r="G6" s="103" t="s">
        <v>28</v>
      </c>
      <c r="H6" s="104">
        <f>C33/SUM($C$19,$C$33,$C$52,$C$59,$C$65,$C$72)*100</f>
        <v>15.434526616271274</v>
      </c>
      <c r="I6" s="34"/>
      <c r="J6" s="37"/>
      <c r="K6" s="37"/>
      <c r="L6" s="62"/>
    </row>
    <row r="7" spans="1:13" x14ac:dyDescent="0.25">
      <c r="A7" s="19" t="s">
        <v>9</v>
      </c>
      <c r="B7" t="s">
        <v>9</v>
      </c>
      <c r="C7" s="66">
        <v>0.43297000000000002</v>
      </c>
      <c r="D7" s="32">
        <f t="shared" si="0"/>
        <v>5.7193015363927335</v>
      </c>
      <c r="E7" s="78">
        <f t="shared" ref="E7:E10" si="1">C7/SUM($C$5:$C$10)*100</f>
        <v>13.747174172572327</v>
      </c>
      <c r="G7" s="103" t="s">
        <v>43</v>
      </c>
      <c r="H7" s="104">
        <f>C52/SUM($C$19,$C$33,$C$52,$C$59,$C$65,$C$72)*100</f>
        <v>14.702114340548539</v>
      </c>
      <c r="I7" s="29"/>
      <c r="J7" s="37"/>
      <c r="K7" s="37"/>
      <c r="L7" s="61"/>
    </row>
    <row r="8" spans="1:13" x14ac:dyDescent="0.25">
      <c r="A8" s="19" t="s">
        <v>78</v>
      </c>
      <c r="B8" t="s">
        <v>11</v>
      </c>
      <c r="C8" s="66">
        <v>0.44614999999999999</v>
      </c>
      <c r="D8" s="32">
        <f t="shared" si="0"/>
        <v>5.8934022691216894</v>
      </c>
      <c r="E8" s="78">
        <f t="shared" si="1"/>
        <v>14.165650638827501</v>
      </c>
      <c r="G8" s="103" t="s">
        <v>65</v>
      </c>
      <c r="H8" s="104">
        <f>C59/SUM($C$19,$C$33,$C$52,$C$59,$C$65,$C$72)*100</f>
        <v>19.736111566700306</v>
      </c>
      <c r="J8" s="37"/>
      <c r="K8" s="37"/>
      <c r="L8" s="38"/>
    </row>
    <row r="9" spans="1:13" x14ac:dyDescent="0.25">
      <c r="A9" s="19" t="s">
        <v>12</v>
      </c>
      <c r="B9" t="s">
        <v>12</v>
      </c>
      <c r="C9" s="66">
        <v>0.68317000000000005</v>
      </c>
      <c r="D9" s="32">
        <f t="shared" si="0"/>
        <v>9.0243093762094926</v>
      </c>
      <c r="E9" s="78">
        <f t="shared" si="1"/>
        <v>21.691241840026414</v>
      </c>
      <c r="G9" s="106" t="s">
        <v>144</v>
      </c>
      <c r="H9" s="107">
        <f>C65/SUM($C$19,$C$33,$C$52,$C$59,$C$65,$C$72)*100</f>
        <v>15.309061917766259</v>
      </c>
      <c r="I9" s="29" t="s">
        <v>145</v>
      </c>
      <c r="J9" s="37"/>
      <c r="K9" s="37"/>
      <c r="L9" s="61"/>
    </row>
    <row r="10" spans="1:13" x14ac:dyDescent="0.25">
      <c r="A10" s="20" t="s">
        <v>13</v>
      </c>
      <c r="B10" s="36" t="s">
        <v>97</v>
      </c>
      <c r="C10" s="69">
        <v>0.14108999999999999</v>
      </c>
      <c r="D10" s="28">
        <f t="shared" si="0"/>
        <v>1.8637232458822797</v>
      </c>
      <c r="E10" s="79">
        <f t="shared" si="1"/>
        <v>4.4797302446087022</v>
      </c>
      <c r="G10" s="103" t="s">
        <v>139</v>
      </c>
      <c r="H10" s="104">
        <f>C72/SUM($C$19,$C$33,$C$52,$C$59,$C$65,$C$72)*100</f>
        <v>15.536635192626191</v>
      </c>
      <c r="J10" s="37"/>
      <c r="K10" s="37"/>
      <c r="L10" s="38"/>
    </row>
    <row r="11" spans="1:13" x14ac:dyDescent="0.25">
      <c r="A11" s="80" t="s">
        <v>16</v>
      </c>
      <c r="B11" s="16" t="s">
        <v>17</v>
      </c>
      <c r="C11" s="67">
        <v>0.72994000000000003</v>
      </c>
      <c r="D11" s="81">
        <f t="shared" si="0"/>
        <v>9.6421159975853108</v>
      </c>
      <c r="E11" s="82">
        <f>C11/SUM($C$11:$C$18)*100</f>
        <v>16.511453783356444</v>
      </c>
      <c r="G11" s="14"/>
      <c r="H11">
        <f>SUM(H5:H10)</f>
        <v>100.00000000000001</v>
      </c>
      <c r="J11" s="34"/>
      <c r="K11" s="38"/>
      <c r="L11" s="38"/>
    </row>
    <row r="12" spans="1:13" x14ac:dyDescent="0.25">
      <c r="A12" s="19" t="s">
        <v>18</v>
      </c>
      <c r="B12" t="s">
        <v>18</v>
      </c>
      <c r="C12" s="66">
        <v>0.44708999999999999</v>
      </c>
      <c r="D12" s="32">
        <f t="shared" si="0"/>
        <v>5.9058191650826313</v>
      </c>
      <c r="E12" s="78">
        <f t="shared" ref="E12:E18" si="2">C12/SUM($C$11:$C$18)*100</f>
        <v>10.113305027811645</v>
      </c>
      <c r="G12" s="14"/>
      <c r="J12" s="34"/>
      <c r="K12" s="38"/>
      <c r="L12" s="38"/>
    </row>
    <row r="13" spans="1:13" x14ac:dyDescent="0.25">
      <c r="A13" s="19" t="s">
        <v>19</v>
      </c>
      <c r="B13" t="s">
        <v>20</v>
      </c>
      <c r="C13" s="66">
        <v>0.41672999999999999</v>
      </c>
      <c r="D13" s="32">
        <f t="shared" si="0"/>
        <v>5.5047798444717726</v>
      </c>
      <c r="E13" s="78">
        <f t="shared" si="2"/>
        <v>9.4265530524949046</v>
      </c>
      <c r="G13" s="14"/>
      <c r="J13" s="34"/>
      <c r="K13" s="38"/>
      <c r="L13" s="38"/>
    </row>
    <row r="14" spans="1:13" x14ac:dyDescent="0.25">
      <c r="A14" s="19" t="s">
        <v>21</v>
      </c>
      <c r="B14" t="s">
        <v>80</v>
      </c>
      <c r="C14" s="66">
        <v>0.84206000000000003</v>
      </c>
      <c r="D14" s="32">
        <f t="shared" si="0"/>
        <v>11.123161077522379</v>
      </c>
      <c r="E14" s="78">
        <f t="shared" si="2"/>
        <v>19.04764059075147</v>
      </c>
      <c r="G14" s="14"/>
      <c r="J14" s="34"/>
      <c r="K14" s="38"/>
      <c r="L14" s="38"/>
      <c r="M14" s="63"/>
    </row>
    <row r="15" spans="1:13" x14ac:dyDescent="0.25">
      <c r="A15" s="19" t="s">
        <v>22</v>
      </c>
      <c r="B15" t="s">
        <v>22</v>
      </c>
      <c r="C15" s="66">
        <v>0.67618999999999996</v>
      </c>
      <c r="D15" s="32">
        <f t="shared" si="0"/>
        <v>8.9321073189675992</v>
      </c>
      <c r="E15" s="78">
        <f t="shared" si="2"/>
        <v>15.295613247346074</v>
      </c>
      <c r="G15" s="14"/>
      <c r="J15" s="34"/>
      <c r="K15" s="38"/>
      <c r="L15" s="38"/>
    </row>
    <row r="16" spans="1:13" x14ac:dyDescent="0.25">
      <c r="A16" s="19" t="s">
        <v>23</v>
      </c>
      <c r="B16" t="s">
        <v>23</v>
      </c>
      <c r="C16" s="66">
        <v>0.65215000000000001</v>
      </c>
      <c r="D16" s="32">
        <f t="shared" si="0"/>
        <v>8.6145518094983977</v>
      </c>
      <c r="E16" s="78">
        <f t="shared" si="2"/>
        <v>14.751821498775112</v>
      </c>
      <c r="G16" s="14"/>
      <c r="I16" s="29"/>
      <c r="J16" s="34"/>
      <c r="K16" s="38"/>
      <c r="L16" s="61"/>
    </row>
    <row r="17" spans="1:12" x14ac:dyDescent="0.25">
      <c r="A17" s="19" t="s">
        <v>24</v>
      </c>
      <c r="B17" t="s">
        <v>25</v>
      </c>
      <c r="C17" s="66">
        <v>0.39900000000000002</v>
      </c>
      <c r="D17" s="32">
        <f t="shared" si="0"/>
        <v>5.2705760515063416</v>
      </c>
      <c r="E17" s="78">
        <f t="shared" si="2"/>
        <v>9.0254953277792982</v>
      </c>
      <c r="G17" s="14"/>
      <c r="J17" s="34"/>
      <c r="K17" s="38"/>
      <c r="L17" s="38"/>
    </row>
    <row r="18" spans="1:12" x14ac:dyDescent="0.25">
      <c r="A18" s="20" t="s">
        <v>79</v>
      </c>
      <c r="B18" s="21" t="s">
        <v>27</v>
      </c>
      <c r="C18" s="70">
        <v>0.25764999999999999</v>
      </c>
      <c r="D18" s="28">
        <f t="shared" si="0"/>
        <v>3.4034183450391198</v>
      </c>
      <c r="E18" s="79">
        <f t="shared" si="2"/>
        <v>5.8281174716850526</v>
      </c>
      <c r="G18" s="14"/>
      <c r="J18" s="34"/>
      <c r="K18" s="38"/>
      <c r="L18" s="38"/>
    </row>
    <row r="19" spans="1:12" x14ac:dyDescent="0.25">
      <c r="C19" s="68">
        <f>SUM(C5:C18)</f>
        <v>7.5703300000000002</v>
      </c>
      <c r="D19" s="31">
        <f>SUM(D5:D18)</f>
        <v>99.999999999999986</v>
      </c>
      <c r="E19" s="31"/>
      <c r="J19" s="60"/>
      <c r="L19" s="40"/>
    </row>
    <row r="20" spans="1:12" x14ac:dyDescent="0.25">
      <c r="D20" s="31" t="s">
        <v>134</v>
      </c>
      <c r="E20" s="31">
        <f>SUM(C5:C10)/C19*100</f>
        <v>41.60347039032645</v>
      </c>
      <c r="J20" s="60"/>
      <c r="L20" s="40"/>
    </row>
    <row r="21" spans="1:12" x14ac:dyDescent="0.25">
      <c r="D21" s="31" t="s">
        <v>135</v>
      </c>
      <c r="E21" s="31">
        <f>SUM(C11:C18)/C19*100</f>
        <v>58.39652960967355</v>
      </c>
      <c r="J21" s="60"/>
      <c r="L21" s="40"/>
    </row>
    <row r="22" spans="1:12" x14ac:dyDescent="0.25">
      <c r="D22" s="31"/>
      <c r="E22" s="31"/>
      <c r="J22" s="34"/>
      <c r="L22" s="40"/>
    </row>
    <row r="23" spans="1:12" x14ac:dyDescent="0.25">
      <c r="A23" s="15" t="s">
        <v>28</v>
      </c>
      <c r="B23" s="16"/>
      <c r="C23" s="67"/>
      <c r="D23" s="83"/>
      <c r="E23" s="39"/>
      <c r="J23" s="34"/>
    </row>
    <row r="24" spans="1:12" x14ac:dyDescent="0.25">
      <c r="A24" s="18" t="s">
        <v>75</v>
      </c>
      <c r="B24" s="27" t="s">
        <v>2</v>
      </c>
      <c r="C24" s="68" t="s">
        <v>132</v>
      </c>
      <c r="D24" s="84" t="s">
        <v>77</v>
      </c>
      <c r="E24" s="31"/>
    </row>
    <row r="25" spans="1:12" x14ac:dyDescent="0.25">
      <c r="A25" s="19" t="s">
        <v>29</v>
      </c>
      <c r="B25" s="34" t="s">
        <v>96</v>
      </c>
      <c r="C25" s="85">
        <v>2.9385500000000002</v>
      </c>
      <c r="D25" s="78">
        <f>C25/$C$33*100</f>
        <v>48.491644265343872</v>
      </c>
      <c r="E25" s="32"/>
      <c r="G25" s="14"/>
      <c r="J25" s="34"/>
      <c r="K25" s="38"/>
      <c r="L25" s="38"/>
    </row>
    <row r="26" spans="1:12" x14ac:dyDescent="0.25">
      <c r="A26" s="19" t="s">
        <v>31</v>
      </c>
      <c r="B26" t="s">
        <v>32</v>
      </c>
      <c r="C26" s="66">
        <v>0.86599999999999999</v>
      </c>
      <c r="D26" s="78">
        <f t="shared" ref="D26:D32" si="3">C26/$C$33*100</f>
        <v>14.290641280151025</v>
      </c>
      <c r="E26" s="32"/>
      <c r="G26" s="14"/>
      <c r="J26" s="34"/>
      <c r="K26" s="38"/>
      <c r="L26" s="38"/>
    </row>
    <row r="27" spans="1:12" x14ac:dyDescent="0.25">
      <c r="A27" s="19" t="s">
        <v>33</v>
      </c>
      <c r="B27" t="s">
        <v>33</v>
      </c>
      <c r="C27" s="66">
        <v>0.99878</v>
      </c>
      <c r="D27" s="78">
        <f t="shared" si="3"/>
        <v>16.481762930472563</v>
      </c>
      <c r="E27" s="32"/>
      <c r="G27" s="14"/>
      <c r="J27" s="34"/>
      <c r="K27" s="38"/>
      <c r="L27" s="38"/>
    </row>
    <row r="28" spans="1:12" x14ac:dyDescent="0.25">
      <c r="A28" s="19" t="s">
        <v>34</v>
      </c>
      <c r="B28" t="s">
        <v>34</v>
      </c>
      <c r="C28" s="66">
        <v>0.55932000000000004</v>
      </c>
      <c r="D28" s="78">
        <f t="shared" si="3"/>
        <v>9.2298400471294126</v>
      </c>
      <c r="E28" s="32"/>
      <c r="G28" s="14"/>
      <c r="J28" s="34"/>
      <c r="K28" s="38"/>
      <c r="L28" s="38"/>
    </row>
    <row r="29" spans="1:12" x14ac:dyDescent="0.25">
      <c r="A29" s="19" t="s">
        <v>35</v>
      </c>
      <c r="B29" t="s">
        <v>35</v>
      </c>
      <c r="C29" s="66">
        <v>3.4020000000000002E-2</v>
      </c>
      <c r="D29" s="78">
        <f t="shared" si="3"/>
        <v>0.56139447615558646</v>
      </c>
      <c r="E29" s="32"/>
      <c r="G29" s="14"/>
      <c r="J29" s="34"/>
      <c r="K29" s="38"/>
      <c r="L29" s="38"/>
    </row>
    <row r="30" spans="1:12" x14ac:dyDescent="0.25">
      <c r="A30" s="19" t="s">
        <v>37</v>
      </c>
      <c r="B30" t="s">
        <v>38</v>
      </c>
      <c r="C30" s="66">
        <v>0.23755999999999999</v>
      </c>
      <c r="D30" s="78">
        <f t="shared" si="3"/>
        <v>3.920190233848357</v>
      </c>
      <c r="E30" s="32"/>
      <c r="G30" s="14"/>
      <c r="J30" s="34"/>
      <c r="K30" s="38"/>
      <c r="L30" s="38"/>
    </row>
    <row r="31" spans="1:12" x14ac:dyDescent="0.25">
      <c r="A31" s="19" t="s">
        <v>39</v>
      </c>
      <c r="B31" t="s">
        <v>40</v>
      </c>
      <c r="C31" s="66">
        <v>9.9919999999999995E-2</v>
      </c>
      <c r="D31" s="78">
        <f t="shared" si="3"/>
        <v>1.6488693726474484</v>
      </c>
      <c r="E31" s="32"/>
      <c r="G31" s="14"/>
      <c r="J31" s="34"/>
      <c r="K31" s="38"/>
      <c r="L31" s="38"/>
    </row>
    <row r="32" spans="1:12" x14ac:dyDescent="0.25">
      <c r="A32" s="20" t="s">
        <v>41</v>
      </c>
      <c r="B32" s="21" t="s">
        <v>82</v>
      </c>
      <c r="C32" s="70">
        <v>0.32575999999999999</v>
      </c>
      <c r="D32" s="79">
        <f t="shared" si="3"/>
        <v>5.3756573942517294</v>
      </c>
      <c r="E32" s="32"/>
      <c r="F32" s="34"/>
      <c r="G32" s="14"/>
      <c r="I32" s="34"/>
      <c r="J32" s="34"/>
      <c r="K32" s="38"/>
      <c r="L32" s="62"/>
    </row>
    <row r="33" spans="1:14" x14ac:dyDescent="0.25">
      <c r="C33" s="74">
        <f>SUM(C25:C32)</f>
        <v>6.0599100000000004</v>
      </c>
      <c r="D33" s="31">
        <f>SUM(D25:D32)</f>
        <v>100</v>
      </c>
      <c r="E33" s="31"/>
      <c r="J33" s="41"/>
      <c r="K33" s="38"/>
      <c r="L33" s="40"/>
    </row>
    <row r="34" spans="1:14" x14ac:dyDescent="0.25">
      <c r="D34" s="31"/>
      <c r="E34" s="31"/>
      <c r="J34" s="34"/>
      <c r="L34" s="27"/>
    </row>
    <row r="35" spans="1:14" x14ac:dyDescent="0.25">
      <c r="A35" s="15" t="s">
        <v>43</v>
      </c>
      <c r="B35" s="23"/>
      <c r="C35" s="71"/>
      <c r="D35" s="86"/>
      <c r="E35" s="31"/>
      <c r="J35" s="34"/>
    </row>
    <row r="36" spans="1:14" x14ac:dyDescent="0.25">
      <c r="A36" s="18" t="s">
        <v>75</v>
      </c>
      <c r="B36" s="27" t="s">
        <v>2</v>
      </c>
      <c r="C36" s="68" t="s">
        <v>132</v>
      </c>
      <c r="D36" s="84" t="s">
        <v>77</v>
      </c>
      <c r="E36" s="31"/>
    </row>
    <row r="37" spans="1:14" x14ac:dyDescent="0.25">
      <c r="A37" s="26" t="s">
        <v>47</v>
      </c>
      <c r="B37" t="s">
        <v>47</v>
      </c>
      <c r="C37" s="66">
        <v>1.0995600000000001</v>
      </c>
      <c r="D37" s="78">
        <f>C37/$C$52*100</f>
        <v>19.048740980709763</v>
      </c>
      <c r="E37" s="32"/>
      <c r="G37" s="14"/>
      <c r="J37" s="34"/>
      <c r="K37" s="38"/>
      <c r="L37" s="38"/>
    </row>
    <row r="38" spans="1:14" x14ac:dyDescent="0.25">
      <c r="A38" s="26" t="s">
        <v>48</v>
      </c>
      <c r="B38" t="s">
        <v>48</v>
      </c>
      <c r="C38" s="66">
        <v>0.93920000000000003</v>
      </c>
      <c r="D38" s="78">
        <f t="shared" ref="D38:D51" si="4">C38/$C$52*100</f>
        <v>16.270669657938274</v>
      </c>
      <c r="E38" s="32"/>
      <c r="G38" s="14"/>
      <c r="J38" s="34"/>
      <c r="K38" s="38"/>
      <c r="L38" s="38"/>
    </row>
    <row r="39" spans="1:14" x14ac:dyDescent="0.25">
      <c r="A39" s="26" t="s">
        <v>49</v>
      </c>
      <c r="B39" t="s">
        <v>49</v>
      </c>
      <c r="C39" s="66">
        <v>0.83730000000000004</v>
      </c>
      <c r="D39" s="78">
        <f t="shared" si="4"/>
        <v>14.505357436745866</v>
      </c>
      <c r="E39" s="32"/>
      <c r="G39" s="14"/>
      <c r="J39" s="34"/>
      <c r="K39" s="38"/>
      <c r="L39" s="38"/>
    </row>
    <row r="40" spans="1:14" x14ac:dyDescent="0.25">
      <c r="A40" s="19" t="s">
        <v>50</v>
      </c>
      <c r="B40" t="s">
        <v>50</v>
      </c>
      <c r="C40" s="66">
        <v>0.19350000000000001</v>
      </c>
      <c r="D40" s="78">
        <f t="shared" si="4"/>
        <v>3.352187583912964</v>
      </c>
      <c r="E40" s="32"/>
      <c r="G40" s="14"/>
      <c r="J40" s="34"/>
      <c r="K40" s="38"/>
      <c r="L40" s="38"/>
    </row>
    <row r="41" spans="1:14" x14ac:dyDescent="0.25">
      <c r="A41" s="19" t="s">
        <v>51</v>
      </c>
      <c r="B41" t="s">
        <v>51</v>
      </c>
      <c r="C41" s="66">
        <v>0.31376999999999999</v>
      </c>
      <c r="D41" s="78">
        <f t="shared" si="4"/>
        <v>5.4357410759915803</v>
      </c>
      <c r="E41" s="32"/>
      <c r="G41" s="14"/>
      <c r="J41" s="34"/>
      <c r="K41" s="38"/>
      <c r="L41" s="38"/>
    </row>
    <row r="42" spans="1:14" x14ac:dyDescent="0.25">
      <c r="A42" s="19" t="s">
        <v>52</v>
      </c>
      <c r="B42" t="s">
        <v>81</v>
      </c>
      <c r="C42" s="66">
        <v>0.48196</v>
      </c>
      <c r="D42" s="78">
        <f t="shared" si="4"/>
        <v>8.3494590591353592</v>
      </c>
      <c r="E42" s="32"/>
      <c r="G42" s="14"/>
      <c r="J42" s="34"/>
      <c r="K42" s="38"/>
      <c r="L42" s="38"/>
    </row>
    <row r="43" spans="1:14" x14ac:dyDescent="0.25">
      <c r="A43" s="19" t="s">
        <v>54</v>
      </c>
      <c r="B43" t="s">
        <v>54</v>
      </c>
      <c r="C43" s="66">
        <v>0.38244</v>
      </c>
      <c r="D43" s="78">
        <f t="shared" si="4"/>
        <v>6.6253778790267397</v>
      </c>
      <c r="E43" s="32"/>
      <c r="G43" s="14"/>
      <c r="J43" s="34"/>
      <c r="K43" s="38"/>
      <c r="L43" s="38"/>
    </row>
    <row r="44" spans="1:14" x14ac:dyDescent="0.25">
      <c r="A44" s="19" t="s">
        <v>55</v>
      </c>
      <c r="B44" t="s">
        <v>55</v>
      </c>
      <c r="C44" s="66">
        <v>0.14099999999999999</v>
      </c>
      <c r="D44" s="78">
        <f t="shared" si="4"/>
        <v>2.4426793247117722</v>
      </c>
      <c r="E44" s="32"/>
      <c r="G44" s="14"/>
      <c r="J44" s="34"/>
      <c r="K44" s="38"/>
      <c r="L44" s="38"/>
    </row>
    <row r="45" spans="1:14" x14ac:dyDescent="0.25">
      <c r="A45" s="19" t="s">
        <v>56</v>
      </c>
      <c r="B45" t="s">
        <v>56</v>
      </c>
      <c r="C45" s="66">
        <v>6.5269999999999995E-2</v>
      </c>
      <c r="D45" s="78">
        <f t="shared" si="4"/>
        <v>1.1307353157726054</v>
      </c>
      <c r="E45" s="32"/>
      <c r="G45" s="14"/>
      <c r="J45" s="34"/>
      <c r="K45" s="38"/>
      <c r="L45" s="38"/>
    </row>
    <row r="46" spans="1:14" x14ac:dyDescent="0.25">
      <c r="A46" s="19" t="s">
        <v>57</v>
      </c>
      <c r="B46" t="s">
        <v>57</v>
      </c>
      <c r="C46" s="66">
        <v>0.10439</v>
      </c>
      <c r="D46" s="78">
        <f t="shared" si="4"/>
        <v>1.8084488986288079</v>
      </c>
      <c r="E46" s="32"/>
      <c r="G46" s="14"/>
      <c r="J46" s="34"/>
      <c r="K46" s="38"/>
      <c r="L46" s="38"/>
    </row>
    <row r="47" spans="1:14" x14ac:dyDescent="0.25">
      <c r="A47" s="19" t="s">
        <v>58</v>
      </c>
      <c r="B47" t="s">
        <v>58</v>
      </c>
      <c r="C47" s="66">
        <f>0.82835*0.4</f>
        <v>0.33134000000000002</v>
      </c>
      <c r="D47" s="78">
        <f t="shared" si="4"/>
        <v>5.7401231734042462</v>
      </c>
      <c r="E47" s="32"/>
      <c r="G47" s="14"/>
      <c r="J47" s="34"/>
      <c r="K47" s="38"/>
      <c r="L47" s="38"/>
      <c r="N47">
        <f>K47/0.4</f>
        <v>0</v>
      </c>
    </row>
    <row r="48" spans="1:14" x14ac:dyDescent="0.25">
      <c r="A48" s="19" t="s">
        <v>59</v>
      </c>
      <c r="B48" t="s">
        <v>60</v>
      </c>
      <c r="C48" s="66">
        <v>0.13969999999999999</v>
      </c>
      <c r="D48" s="78">
        <f t="shared" si="4"/>
        <v>2.4201581678172666</v>
      </c>
      <c r="E48" s="32"/>
      <c r="G48" s="14"/>
      <c r="J48" s="34"/>
      <c r="K48" s="38"/>
      <c r="L48" s="38"/>
    </row>
    <row r="49" spans="1:13" x14ac:dyDescent="0.25">
      <c r="A49" s="19" t="s">
        <v>61</v>
      </c>
      <c r="B49" t="s">
        <v>62</v>
      </c>
      <c r="C49" s="66">
        <v>0.11484999999999999</v>
      </c>
      <c r="D49" s="78">
        <f t="shared" si="4"/>
        <v>1.9896575917953692</v>
      </c>
      <c r="E49" s="32"/>
      <c r="G49" s="14"/>
      <c r="J49" s="34"/>
      <c r="K49" s="38"/>
      <c r="L49" s="38"/>
    </row>
    <row r="50" spans="1:13" x14ac:dyDescent="0.25">
      <c r="A50" s="19" t="s">
        <v>63</v>
      </c>
      <c r="B50" t="s">
        <v>64</v>
      </c>
      <c r="C50" s="66">
        <v>0.13106000000000001</v>
      </c>
      <c r="D50" s="78">
        <f t="shared" si="4"/>
        <v>2.2704790943030138</v>
      </c>
      <c r="E50" s="32"/>
      <c r="G50" s="14"/>
      <c r="J50" s="34"/>
      <c r="K50" s="38"/>
      <c r="L50" s="38"/>
    </row>
    <row r="51" spans="1:13" x14ac:dyDescent="0.25">
      <c r="A51" s="76" t="s">
        <v>136</v>
      </c>
      <c r="B51" s="87" t="s">
        <v>137</v>
      </c>
      <c r="C51" s="70">
        <f>0.82835*0.6</f>
        <v>0.49701000000000001</v>
      </c>
      <c r="D51" s="79">
        <f t="shared" si="4"/>
        <v>8.6101847601063692</v>
      </c>
      <c r="E51" s="32"/>
      <c r="G51" s="14"/>
      <c r="J51" s="34"/>
      <c r="K51" s="38"/>
      <c r="L51" s="38"/>
    </row>
    <row r="52" spans="1:13" x14ac:dyDescent="0.25">
      <c r="C52" s="75">
        <f>SUM(C37:C51)</f>
        <v>5.7723500000000003</v>
      </c>
      <c r="D52" s="31">
        <f>SUM(D37:D51)</f>
        <v>100</v>
      </c>
      <c r="E52" s="31"/>
      <c r="J52" s="41"/>
      <c r="L52" s="40"/>
    </row>
    <row r="53" spans="1:13" x14ac:dyDescent="0.25">
      <c r="D53" s="31"/>
      <c r="E53" s="31"/>
      <c r="J53" s="34"/>
      <c r="L53" s="27"/>
    </row>
    <row r="54" spans="1:13" x14ac:dyDescent="0.25">
      <c r="A54" s="15" t="s">
        <v>65</v>
      </c>
      <c r="B54" s="23"/>
      <c r="C54" s="71"/>
      <c r="D54" s="86"/>
      <c r="E54" s="31"/>
    </row>
    <row r="55" spans="1:13" x14ac:dyDescent="0.25">
      <c r="A55" s="18" t="s">
        <v>75</v>
      </c>
      <c r="B55" s="27" t="s">
        <v>2</v>
      </c>
      <c r="C55" s="68" t="s">
        <v>132</v>
      </c>
      <c r="D55" s="84" t="s">
        <v>77</v>
      </c>
      <c r="E55" s="31"/>
    </row>
    <row r="56" spans="1:13" x14ac:dyDescent="0.25">
      <c r="A56" s="19" t="s">
        <v>66</v>
      </c>
      <c r="B56" t="s">
        <v>66</v>
      </c>
      <c r="C56" s="66">
        <v>1.1009</v>
      </c>
      <c r="D56" s="78">
        <f>C56/$C$59*100</f>
        <v>14.207361139789388</v>
      </c>
      <c r="E56" s="32"/>
      <c r="G56" s="14"/>
      <c r="J56" s="34"/>
      <c r="K56" s="38"/>
      <c r="L56" s="38"/>
    </row>
    <row r="57" spans="1:13" x14ac:dyDescent="0.25">
      <c r="A57" s="19" t="s">
        <v>67</v>
      </c>
      <c r="B57" t="s">
        <v>67</v>
      </c>
      <c r="C57" s="66">
        <v>5.6852999999999998</v>
      </c>
      <c r="D57" s="78">
        <f t="shared" ref="D57:D58" si="5">C57/$C$59*100</f>
        <v>73.370070204418752</v>
      </c>
      <c r="E57" s="32"/>
      <c r="G57" s="14"/>
      <c r="J57" s="34"/>
      <c r="K57" s="38"/>
      <c r="L57" s="38"/>
    </row>
    <row r="58" spans="1:13" x14ac:dyDescent="0.25">
      <c r="A58" s="20" t="s">
        <v>68</v>
      </c>
      <c r="B58" s="21" t="s">
        <v>68</v>
      </c>
      <c r="C58" s="70">
        <v>0.96260000000000001</v>
      </c>
      <c r="D58" s="79">
        <f t="shared" si="5"/>
        <v>12.422568655791864</v>
      </c>
      <c r="E58" s="32"/>
      <c r="G58" s="14"/>
      <c r="J58" s="34"/>
      <c r="K58" s="38"/>
      <c r="L58" s="38"/>
    </row>
    <row r="59" spans="1:13" x14ac:dyDescent="0.25">
      <c r="C59" s="31">
        <f>SUM(C56:C58)</f>
        <v>7.7488000000000001</v>
      </c>
      <c r="D59" s="31">
        <f>SUM(D56:D58)</f>
        <v>100</v>
      </c>
      <c r="E59" s="31"/>
      <c r="J59" s="41"/>
      <c r="L59" s="40"/>
    </row>
    <row r="60" spans="1:13" x14ac:dyDescent="0.25">
      <c r="C60" s="31"/>
      <c r="D60" s="31"/>
      <c r="E60" s="31"/>
      <c r="J60" s="41"/>
      <c r="L60" s="40"/>
    </row>
    <row r="61" spans="1:13" x14ac:dyDescent="0.25">
      <c r="A61" s="15" t="s">
        <v>144</v>
      </c>
      <c r="B61" s="23"/>
      <c r="C61" s="24"/>
      <c r="D61" s="86"/>
      <c r="E61" s="31"/>
      <c r="J61" s="41"/>
      <c r="L61" s="40"/>
    </row>
    <row r="62" spans="1:13" x14ac:dyDescent="0.25">
      <c r="A62" s="18" t="s">
        <v>75</v>
      </c>
      <c r="B62" s="27" t="s">
        <v>2</v>
      </c>
      <c r="C62" s="68" t="s">
        <v>132</v>
      </c>
      <c r="D62" s="84" t="s">
        <v>77</v>
      </c>
      <c r="E62" s="31"/>
      <c r="J62" s="41"/>
      <c r="L62" s="40"/>
    </row>
    <row r="63" spans="1:13" x14ac:dyDescent="0.25">
      <c r="A63" s="19" t="s">
        <v>44</v>
      </c>
      <c r="B63" s="34" t="s">
        <v>90</v>
      </c>
      <c r="C63" s="85">
        <v>0.28878999999999999</v>
      </c>
      <c r="D63" s="78">
        <f>C63/$C$65*100</f>
        <v>4.8046384334472974</v>
      </c>
      <c r="E63" s="32"/>
      <c r="G63" s="14"/>
      <c r="J63" s="34"/>
      <c r="K63" s="38"/>
      <c r="L63" s="38"/>
      <c r="M63" s="63"/>
    </row>
    <row r="64" spans="1:13" x14ac:dyDescent="0.25">
      <c r="A64" s="20"/>
      <c r="B64" s="36" t="s">
        <v>138</v>
      </c>
      <c r="C64" s="69">
        <v>5.7218600000000004</v>
      </c>
      <c r="D64" s="79">
        <f>C64/$C$65*100</f>
        <v>95.195361566552705</v>
      </c>
      <c r="E64" s="32"/>
      <c r="G64" s="14"/>
      <c r="J64" s="34"/>
      <c r="K64" s="38"/>
      <c r="L64" s="38"/>
      <c r="M64" s="63"/>
    </row>
    <row r="65" spans="1:13" x14ac:dyDescent="0.25">
      <c r="B65" s="29"/>
      <c r="C65" s="88">
        <f>SUM(C63:C64)</f>
        <v>6.01065</v>
      </c>
      <c r="D65" s="89">
        <f>SUM(D63:D64)</f>
        <v>100</v>
      </c>
      <c r="E65" s="32"/>
      <c r="G65" s="14"/>
      <c r="J65" s="34"/>
      <c r="K65" s="38"/>
      <c r="L65" s="38"/>
      <c r="M65" s="63"/>
    </row>
    <row r="66" spans="1:13" x14ac:dyDescent="0.25">
      <c r="B66" s="29"/>
      <c r="C66" s="72"/>
      <c r="D66" s="32"/>
      <c r="E66" s="32"/>
      <c r="G66" s="14"/>
      <c r="J66" s="34"/>
      <c r="K66" s="38"/>
      <c r="L66" s="38"/>
      <c r="M66" s="63"/>
    </row>
    <row r="67" spans="1:13" x14ac:dyDescent="0.25">
      <c r="A67" s="95" t="s">
        <v>139</v>
      </c>
      <c r="B67" s="96"/>
      <c r="C67" s="101"/>
      <c r="D67" s="32"/>
      <c r="E67" s="32"/>
      <c r="G67" s="14"/>
      <c r="J67" s="34"/>
      <c r="K67" s="38"/>
      <c r="L67" s="38"/>
      <c r="M67" s="63"/>
    </row>
    <row r="68" spans="1:13" x14ac:dyDescent="0.25">
      <c r="A68" s="97" t="s">
        <v>75</v>
      </c>
      <c r="B68" s="94" t="s">
        <v>2</v>
      </c>
      <c r="C68" s="102" t="s">
        <v>76</v>
      </c>
    </row>
    <row r="69" spans="1:13" x14ac:dyDescent="0.25">
      <c r="A69" s="92" t="s">
        <v>140</v>
      </c>
      <c r="B69" s="91" t="s">
        <v>140</v>
      </c>
      <c r="C69" s="99">
        <v>2.89999991</v>
      </c>
    </row>
    <row r="70" spans="1:13" x14ac:dyDescent="0.25">
      <c r="A70" s="92" t="s">
        <v>141</v>
      </c>
      <c r="B70" s="91" t="s">
        <v>142</v>
      </c>
      <c r="C70" s="99">
        <v>1.9</v>
      </c>
    </row>
    <row r="71" spans="1:13" x14ac:dyDescent="0.25">
      <c r="A71" s="98" t="s">
        <v>143</v>
      </c>
      <c r="B71" s="93" t="s">
        <v>143</v>
      </c>
      <c r="C71" s="100">
        <v>1.3</v>
      </c>
    </row>
    <row r="72" spans="1:13" x14ac:dyDescent="0.25">
      <c r="B72" s="65"/>
      <c r="C72" s="88">
        <f>SUM(C69:C71)</f>
        <v>6.0999999100000002</v>
      </c>
    </row>
    <row r="73" spans="1:13" x14ac:dyDescent="0.25">
      <c r="B73" s="65"/>
      <c r="C73" s="74"/>
    </row>
    <row r="74" spans="1:13" x14ac:dyDescent="0.25">
      <c r="B74" s="65"/>
      <c r="C74" s="74"/>
    </row>
    <row r="75" spans="1:13" x14ac:dyDescent="0.25">
      <c r="B75" s="65"/>
      <c r="C75" s="74"/>
    </row>
    <row r="78" spans="1:13" ht="18.75" x14ac:dyDescent="0.3">
      <c r="B78" s="64"/>
      <c r="C78" s="73"/>
    </row>
    <row r="79" spans="1:13" x14ac:dyDescent="0.25">
      <c r="B79" s="65"/>
      <c r="C79" s="74"/>
    </row>
    <row r="80" spans="1:13" x14ac:dyDescent="0.25">
      <c r="B80" s="65"/>
      <c r="C80" s="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Georgios Updates RD</vt:lpstr>
      <vt:lpstr>Mixtures 24.06.2026</vt:lpstr>
      <vt:lpstr>NMOGs INJECTIONS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Dubus, René</dc:creator>
  <cp:lastModifiedBy>Gkatzelis, Georgios</cp:lastModifiedBy>
  <dcterms:created xsi:type="dcterms:W3CDTF">2026-06-18T11:02:59Z</dcterms:created>
  <dcterms:modified xsi:type="dcterms:W3CDTF">2026-06-27T11:45:21Z</dcterms:modified>
</cp:coreProperties>
</file>